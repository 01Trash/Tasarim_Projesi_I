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C:\Users\onury\Desktop\DERSLER\KOÜ\3.sınıf 2.dönem\tasarım projesi\"/>
    </mc:Choice>
  </mc:AlternateContent>
  <xr:revisionPtr revIDLastSave="0" documentId="13_ncr:1_{4313845E-AD0E-45A5-901F-45D83FC72881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9" i="1" l="1"/>
  <c r="K60" i="1"/>
  <c r="K61" i="1"/>
  <c r="K62" i="1"/>
  <c r="K58" i="1"/>
  <c r="J59" i="1"/>
  <c r="J60" i="1"/>
  <c r="J61" i="1"/>
  <c r="J62" i="1"/>
  <c r="J58" i="1"/>
  <c r="C67" i="1"/>
  <c r="S39" i="1"/>
  <c r="C58" i="1" s="1" a="1"/>
  <c r="C59" i="1" s="1"/>
  <c r="C66" i="1" l="1"/>
  <c r="C64" i="1"/>
  <c r="C58" i="1"/>
  <c r="C63" i="1"/>
  <c r="C61" i="1"/>
  <c r="C60" i="1"/>
  <c r="C65" i="1"/>
  <c r="C62" i="1"/>
  <c r="G25" i="1" l="1"/>
  <c r="G33" i="1"/>
  <c r="E39" i="1"/>
  <c r="D4" i="1"/>
  <c r="D25" i="1" s="1"/>
  <c r="D5" i="1"/>
  <c r="D26" i="1" s="1"/>
  <c r="D6" i="1"/>
  <c r="D27" i="1" s="1"/>
  <c r="D7" i="1"/>
  <c r="D28" i="1" s="1"/>
  <c r="D8" i="1"/>
  <c r="D29" i="1" s="1"/>
  <c r="D9" i="1"/>
  <c r="D30" i="1" s="1"/>
  <c r="D10" i="1"/>
  <c r="D31" i="1" s="1"/>
  <c r="D11" i="1"/>
  <c r="D32" i="1" s="1"/>
  <c r="D12" i="1"/>
  <c r="D33" i="1" s="1"/>
  <c r="D13" i="1"/>
  <c r="D34" i="1" s="1"/>
  <c r="D14" i="1"/>
  <c r="D35" i="1" s="1"/>
  <c r="D15" i="1"/>
  <c r="D36" i="1" s="1"/>
  <c r="D16" i="1"/>
  <c r="D37" i="1" s="1"/>
  <c r="D17" i="1"/>
  <c r="D38" i="1" s="1"/>
  <c r="D18" i="1"/>
  <c r="D39" i="1" s="1"/>
  <c r="D3" i="1"/>
  <c r="K24" i="1" s="1"/>
  <c r="C4" i="1"/>
  <c r="C25" i="1" s="1"/>
  <c r="C5" i="1"/>
  <c r="J26" i="1" s="1"/>
  <c r="C6" i="1"/>
  <c r="J27" i="1" s="1"/>
  <c r="C7" i="1"/>
  <c r="J28" i="1" s="1"/>
  <c r="C8" i="1"/>
  <c r="J29" i="1" s="1"/>
  <c r="C9" i="1"/>
  <c r="J30" i="1" s="1"/>
  <c r="C10" i="1"/>
  <c r="J31" i="1" s="1"/>
  <c r="C11" i="1"/>
  <c r="E32" i="1" s="1"/>
  <c r="C12" i="1"/>
  <c r="C33" i="1" s="1"/>
  <c r="C13" i="1"/>
  <c r="J34" i="1" s="1"/>
  <c r="C14" i="1"/>
  <c r="J35" i="1" s="1"/>
  <c r="C15" i="1"/>
  <c r="J36" i="1" s="1"/>
  <c r="C16" i="1"/>
  <c r="J37" i="1" s="1"/>
  <c r="C17" i="1"/>
  <c r="J38" i="1" s="1"/>
  <c r="C18" i="1"/>
  <c r="C39" i="1" s="1"/>
  <c r="C3" i="1"/>
  <c r="E24" i="1" s="1"/>
  <c r="C24" i="1" l="1"/>
  <c r="E31" i="1"/>
  <c r="D24" i="1"/>
  <c r="F33" i="1"/>
  <c r="F25" i="1"/>
  <c r="H33" i="1"/>
  <c r="H25" i="1"/>
  <c r="I33" i="1"/>
  <c r="I25" i="1"/>
  <c r="J33" i="1"/>
  <c r="J25" i="1"/>
  <c r="K33" i="1"/>
  <c r="K25" i="1"/>
  <c r="C31" i="1"/>
  <c r="E38" i="1"/>
  <c r="E30" i="1"/>
  <c r="F24" i="1"/>
  <c r="F32" i="1"/>
  <c r="G24" i="1"/>
  <c r="G32" i="1"/>
  <c r="H24" i="1"/>
  <c r="H32" i="1"/>
  <c r="I24" i="1"/>
  <c r="I32" i="1"/>
  <c r="J24" i="1"/>
  <c r="J32" i="1"/>
  <c r="K32" i="1"/>
  <c r="C38" i="1"/>
  <c r="C30" i="1"/>
  <c r="E37" i="1"/>
  <c r="E29" i="1"/>
  <c r="F39" i="1"/>
  <c r="F31" i="1"/>
  <c r="G39" i="1"/>
  <c r="G31" i="1"/>
  <c r="H39" i="1"/>
  <c r="H31" i="1"/>
  <c r="I39" i="1"/>
  <c r="I31" i="1"/>
  <c r="J39" i="1"/>
  <c r="K39" i="1"/>
  <c r="K31" i="1"/>
  <c r="C37" i="1"/>
  <c r="C29" i="1"/>
  <c r="E36" i="1"/>
  <c r="E28" i="1"/>
  <c r="F38" i="1"/>
  <c r="F30" i="1"/>
  <c r="G38" i="1"/>
  <c r="G30" i="1"/>
  <c r="H38" i="1"/>
  <c r="H30" i="1"/>
  <c r="I38" i="1"/>
  <c r="I30" i="1"/>
  <c r="K38" i="1"/>
  <c r="K30" i="1"/>
  <c r="C32" i="1"/>
  <c r="C36" i="1"/>
  <c r="C28" i="1"/>
  <c r="E35" i="1"/>
  <c r="E27" i="1"/>
  <c r="F37" i="1"/>
  <c r="F29" i="1"/>
  <c r="G37" i="1"/>
  <c r="G29" i="1"/>
  <c r="H37" i="1"/>
  <c r="H29" i="1"/>
  <c r="I37" i="1"/>
  <c r="I29" i="1"/>
  <c r="K37" i="1"/>
  <c r="K29" i="1"/>
  <c r="C35" i="1"/>
  <c r="C27" i="1"/>
  <c r="E34" i="1"/>
  <c r="E26" i="1"/>
  <c r="F36" i="1"/>
  <c r="F28" i="1"/>
  <c r="G36" i="1"/>
  <c r="G28" i="1"/>
  <c r="H36" i="1"/>
  <c r="H28" i="1"/>
  <c r="I36" i="1"/>
  <c r="I28" i="1"/>
  <c r="K36" i="1"/>
  <c r="K28" i="1"/>
  <c r="C34" i="1"/>
  <c r="C26" i="1"/>
  <c r="E33" i="1"/>
  <c r="E25" i="1"/>
  <c r="F35" i="1"/>
  <c r="F27" i="1"/>
  <c r="G35" i="1"/>
  <c r="G27" i="1"/>
  <c r="H35" i="1"/>
  <c r="H27" i="1"/>
  <c r="I35" i="1"/>
  <c r="I27" i="1"/>
  <c r="K35" i="1"/>
  <c r="K27" i="1"/>
  <c r="F34" i="1"/>
  <c r="F26" i="1"/>
  <c r="G34" i="1"/>
  <c r="G26" i="1"/>
  <c r="H34" i="1"/>
  <c r="H26" i="1"/>
  <c r="I34" i="1"/>
  <c r="I26" i="1"/>
  <c r="K34" i="1"/>
  <c r="K26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3" i="1"/>
  <c r="M44" i="1" l="1" a="1"/>
  <c r="B44" i="1" a="1"/>
  <c r="D44" i="1" s="1"/>
  <c r="M45" i="1" l="1"/>
  <c r="M46" i="1"/>
  <c r="M50" i="1"/>
  <c r="M49" i="1"/>
  <c r="M48" i="1"/>
  <c r="M44" i="1"/>
  <c r="M53" i="1"/>
  <c r="M52" i="1"/>
  <c r="M51" i="1"/>
  <c r="M47" i="1"/>
  <c r="E44" i="1"/>
  <c r="B47" i="1"/>
  <c r="K44" i="1"/>
  <c r="G44" i="1"/>
  <c r="H49" i="1"/>
  <c r="D49" i="1"/>
  <c r="I50" i="1"/>
  <c r="C50" i="1"/>
  <c r="J48" i="1"/>
  <c r="B49" i="1"/>
  <c r="G51" i="1"/>
  <c r="J47" i="1"/>
  <c r="I45" i="1"/>
  <c r="E52" i="1"/>
  <c r="G53" i="1"/>
  <c r="J46" i="1"/>
  <c r="F53" i="1"/>
  <c r="G45" i="1"/>
  <c r="H47" i="1"/>
  <c r="I52" i="1"/>
  <c r="F51" i="1"/>
  <c r="B50" i="1"/>
  <c r="B51" i="1"/>
  <c r="C52" i="1"/>
  <c r="D48" i="1"/>
  <c r="D53" i="1"/>
  <c r="C51" i="1"/>
  <c r="C45" i="1"/>
  <c r="K50" i="1"/>
  <c r="I44" i="1"/>
  <c r="K51" i="1"/>
  <c r="J49" i="1"/>
  <c r="K45" i="1"/>
  <c r="F48" i="1"/>
  <c r="E45" i="1"/>
  <c r="I51" i="1"/>
  <c r="H48" i="1"/>
  <c r="E46" i="1"/>
  <c r="F50" i="1"/>
  <c r="E47" i="1"/>
  <c r="B44" i="1"/>
  <c r="H50" i="1"/>
  <c r="I46" i="1"/>
  <c r="C53" i="1"/>
  <c r="C46" i="1"/>
  <c r="G52" i="1"/>
  <c r="F49" i="1"/>
  <c r="C47" i="1"/>
  <c r="J44" i="1"/>
  <c r="D51" i="1"/>
  <c r="C48" i="1"/>
  <c r="G46" i="1"/>
  <c r="B45" i="1"/>
  <c r="G47" i="1"/>
  <c r="K53" i="1"/>
  <c r="K46" i="1"/>
  <c r="E53" i="1"/>
  <c r="D50" i="1"/>
  <c r="K47" i="1"/>
  <c r="H45" i="1"/>
  <c r="B52" i="1"/>
  <c r="K48" i="1"/>
  <c r="G50" i="1"/>
  <c r="J45" i="1"/>
  <c r="D52" i="1"/>
  <c r="E48" i="1"/>
  <c r="F44" i="1"/>
  <c r="J50" i="1"/>
  <c r="I47" i="1"/>
  <c r="H44" i="1"/>
  <c r="I48" i="1"/>
  <c r="F46" i="1"/>
  <c r="J52" i="1"/>
  <c r="I49" i="1"/>
  <c r="H46" i="1"/>
  <c r="B53" i="1"/>
  <c r="C49" i="1"/>
  <c r="D45" i="1"/>
  <c r="H51" i="1"/>
  <c r="G48" i="1"/>
  <c r="F45" i="1"/>
  <c r="J51" i="1"/>
  <c r="G49" i="1"/>
  <c r="D47" i="1"/>
  <c r="H53" i="1"/>
  <c r="E51" i="1"/>
  <c r="I53" i="1"/>
  <c r="F47" i="1"/>
  <c r="J53" i="1"/>
  <c r="K49" i="1"/>
  <c r="B46" i="1"/>
  <c r="F52" i="1"/>
  <c r="E49" i="1"/>
  <c r="D46" i="1"/>
  <c r="H52" i="1"/>
  <c r="E50" i="1"/>
  <c r="B48" i="1"/>
  <c r="C44" i="1"/>
  <c r="K52" i="1"/>
  <c r="N44" i="1" l="1" a="1"/>
  <c r="N45" i="1" l="1"/>
  <c r="N48" i="1"/>
  <c r="N47" i="1"/>
  <c r="N52" i="1"/>
  <c r="N44" i="1"/>
  <c r="N51" i="1"/>
  <c r="N46" i="1"/>
  <c r="N50" i="1"/>
  <c r="N53" i="1"/>
  <c r="N49" i="1"/>
  <c r="Q41" i="1" l="1" a="1"/>
  <c r="Q45" i="1" s="1"/>
  <c r="Q46" i="1" l="1"/>
  <c r="Q53" i="1"/>
  <c r="Q50" i="1"/>
  <c r="Q49" i="1"/>
  <c r="Q42" i="1"/>
  <c r="Q43" i="1"/>
  <c r="Q54" i="1"/>
  <c r="Q48" i="1"/>
  <c r="Q55" i="1"/>
  <c r="Q51" i="1"/>
  <c r="Q47" i="1"/>
  <c r="Q41" i="1"/>
  <c r="Q44" i="1"/>
  <c r="Q52" i="1"/>
  <c r="Q56" i="1"/>
  <c r="S42" i="1" a="1"/>
  <c r="S42" i="1" s="1"/>
  <c r="S44" i="1" l="1" a="1"/>
  <c r="S44" i="1" s="1"/>
  <c r="B59" i="1" s="1" a="1"/>
  <c r="B59" i="1" s="1"/>
  <c r="S51" i="1" a="1"/>
  <c r="S51" i="1" s="1"/>
  <c r="B66" i="1" s="1" a="1"/>
  <c r="B66" i="1" s="1"/>
  <c r="S50" i="1"/>
  <c r="B65" i="1" s="1" a="1"/>
  <c r="B65" i="1" s="1"/>
  <c r="S52" i="1"/>
  <c r="B67" i="1" s="1" a="1"/>
  <c r="B67" i="1" s="1"/>
  <c r="S43" i="1"/>
  <c r="B58" i="1" s="1" a="1"/>
  <c r="B58" i="1" s="1"/>
  <c r="S46" i="1"/>
  <c r="B61" i="1" s="1" a="1"/>
  <c r="B61" i="1" s="1"/>
  <c r="S47" i="1"/>
  <c r="B62" i="1" s="1" a="1"/>
  <c r="B62" i="1" s="1"/>
  <c r="S45" i="1"/>
  <c r="B60" i="1" s="1" a="1"/>
  <c r="B60" i="1" s="1"/>
  <c r="S48" i="1"/>
  <c r="B63" i="1" s="1" a="1"/>
  <c r="B63" i="1" s="1"/>
  <c r="S49" i="1"/>
  <c r="B64" i="1" s="1" a="1"/>
  <c r="B64" i="1" s="1"/>
</calcChain>
</file>

<file path=xl/sharedStrings.xml><?xml version="1.0" encoding="utf-8"?>
<sst xmlns="http://schemas.openxmlformats.org/spreadsheetml/2006/main" count="96" uniqueCount="66">
  <si>
    <t>KARTEZYEN KOORDİNATLAR [GRS80]</t>
  </si>
  <si>
    <t>Nokta No</t>
  </si>
  <si>
    <t>Nokta Adı</t>
  </si>
  <si>
    <t>X(m)</t>
  </si>
  <si>
    <t>Y(m)</t>
  </si>
  <si>
    <t>Z(m)</t>
  </si>
  <si>
    <t>G2331081</t>
  </si>
  <si>
    <t>G2331097</t>
  </si>
  <si>
    <t>G2331253</t>
  </si>
  <si>
    <t>G23A0003</t>
  </si>
  <si>
    <t>G23S0004</t>
  </si>
  <si>
    <t>G23S0007</t>
  </si>
  <si>
    <t>G23S0030</t>
  </si>
  <si>
    <t>G23S0031</t>
  </si>
  <si>
    <t>G23S0032</t>
  </si>
  <si>
    <t>G23S0053</t>
  </si>
  <si>
    <t>G23S0054</t>
  </si>
  <si>
    <t>G24S0020</t>
  </si>
  <si>
    <t>G24S0021</t>
  </si>
  <si>
    <t>G24S0022</t>
  </si>
  <si>
    <t>G24S0039</t>
  </si>
  <si>
    <t>IZGZ</t>
  </si>
  <si>
    <t>h [m]</t>
  </si>
  <si>
    <t>H [m]</t>
  </si>
  <si>
    <t>N( x, y) = a_0 + a_1 x + a_2 y + a_3 x^2 + a_4 xy + a_5 y^2 + a_6 x^3 + a_4 x^2 y + a_8 xy^2 + a_9 y^3</t>
  </si>
  <si>
    <t>a_0</t>
  </si>
  <si>
    <t>a_1 x</t>
  </si>
  <si>
    <t>a_2 y</t>
  </si>
  <si>
    <t>a_3 x^2</t>
  </si>
  <si>
    <t>a_4 xy</t>
  </si>
  <si>
    <t>a_5 y^2</t>
  </si>
  <si>
    <t>a_6 x^3</t>
  </si>
  <si>
    <t>a_4 x^2 y</t>
  </si>
  <si>
    <t>a_8 xy^2</t>
  </si>
  <si>
    <t>a_9 y^3</t>
  </si>
  <si>
    <t>n= 3 için ;</t>
  </si>
  <si>
    <t xml:space="preserve">A_T * L </t>
  </si>
  <si>
    <t>X = Q_xx * A_T * L</t>
  </si>
  <si>
    <t>Q_xx = (A_T * A)^-1</t>
  </si>
  <si>
    <t>a_1</t>
  </si>
  <si>
    <t>a_2</t>
  </si>
  <si>
    <t>a_3</t>
  </si>
  <si>
    <t>a_4</t>
  </si>
  <si>
    <t>a_5</t>
  </si>
  <si>
    <t>a_6</t>
  </si>
  <si>
    <t>a_7</t>
  </si>
  <si>
    <t>a_8</t>
  </si>
  <si>
    <t>a_9</t>
  </si>
  <si>
    <t xml:space="preserve">V = A * X - L </t>
  </si>
  <si>
    <t>n</t>
  </si>
  <si>
    <t>m_x=m_ai = m_o * (Q xx)^1/2</t>
  </si>
  <si>
    <t>N = h - H (m)</t>
  </si>
  <si>
    <t>L (m)</t>
  </si>
  <si>
    <t>m_0 = (V_T * V / n-u)^1/2 (m)</t>
  </si>
  <si>
    <t>u</t>
  </si>
  <si>
    <t>x_0</t>
  </si>
  <si>
    <t>y_0</t>
  </si>
  <si>
    <t>T = |X | / m_x</t>
  </si>
  <si>
    <t>f = n-u</t>
  </si>
  <si>
    <t xml:space="preserve">sınır değer </t>
  </si>
  <si>
    <t>ANLAMSIZ</t>
  </si>
  <si>
    <t>ANLAMLI</t>
  </si>
  <si>
    <t>Karar</t>
  </si>
  <si>
    <t>NN</t>
  </si>
  <si>
    <t>düzeltilmiş H [m]</t>
  </si>
  <si>
    <t xml:space="preserve">H [m] fark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</si>
</sst>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000000E+00"/>
    <numFmt numFmtId="166" formatCode="0.0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0" xfId="0" applyFill="1" applyAlignment="1">
      <alignment horizontal="center"/>
    </xf>
    <xf numFmtId="0" fontId="0" fillId="0" borderId="0" xfId="0" applyFill="1" applyAlignment="1"/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0" borderId="0" xfId="0" applyFill="1" applyAlignment="1">
      <alignment horizontal="center"/>
    </xf>
    <xf numFmtId="165" fontId="0" fillId="0" borderId="0" xfId="0" applyNumberFormat="1" applyFill="1" applyAlignment="1">
      <alignment horizontal="center"/>
    </xf>
    <xf numFmtId="0" fontId="0" fillId="15" borderId="1" xfId="0" applyFill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7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0"/>
  <sheetViews>
    <sheetView tabSelected="1" topLeftCell="B50" zoomScaleNormal="100" workbookViewId="0">
      <selection activeCell="K66" sqref="K66"/>
    </sheetView>
  </sheetViews>
  <sheetFormatPr defaultRowHeight="15" x14ac:dyDescent="0.25"/>
  <cols>
    <col min="1" max="1" width="18.140625" style="3" bestFit="1" customWidth="1"/>
    <col min="2" max="2" width="13.5703125" style="3" bestFit="1" customWidth="1"/>
    <col min="3" max="4" width="14.5703125" style="3" bestFit="1" customWidth="1"/>
    <col min="5" max="5" width="16.140625" style="3" bestFit="1" customWidth="1"/>
    <col min="6" max="7" width="16" style="3" bestFit="1" customWidth="1"/>
    <col min="8" max="8" width="20.28515625" style="3" bestFit="1" customWidth="1"/>
    <col min="9" max="10" width="19.28515625" style="3" bestFit="1" customWidth="1"/>
    <col min="11" max="11" width="20.28515625" style="3" bestFit="1" customWidth="1"/>
    <col min="12" max="12" width="16.7109375" style="3" bestFit="1" customWidth="1"/>
    <col min="13" max="13" width="12" style="3" bestFit="1" customWidth="1"/>
    <col min="14" max="14" width="16.42578125" style="3" bestFit="1" customWidth="1"/>
    <col min="15" max="15" width="16.7109375" style="3" bestFit="1" customWidth="1"/>
    <col min="16" max="16" width="9.140625" style="3"/>
    <col min="17" max="17" width="12" style="3" bestFit="1" customWidth="1"/>
    <col min="18" max="20" width="27.28515625" style="3" bestFit="1" customWidth="1"/>
    <col min="21" max="16384" width="9.140625" style="3"/>
  </cols>
  <sheetData>
    <row r="1" spans="1:12" x14ac:dyDescent="0.25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</row>
    <row r="2" spans="1:12" x14ac:dyDescent="0.25">
      <c r="A2" s="1" t="s">
        <v>1</v>
      </c>
      <c r="B2" s="1" t="s">
        <v>2</v>
      </c>
      <c r="C2" s="9" t="s">
        <v>3</v>
      </c>
      <c r="D2" s="9" t="s">
        <v>4</v>
      </c>
      <c r="E2" s="10" t="s">
        <v>5</v>
      </c>
      <c r="F2" s="1" t="s">
        <v>22</v>
      </c>
      <c r="G2" s="1" t="s">
        <v>23</v>
      </c>
      <c r="H2" s="1" t="s">
        <v>51</v>
      </c>
      <c r="I2" s="10" t="s">
        <v>3</v>
      </c>
      <c r="J2" s="10" t="s">
        <v>4</v>
      </c>
      <c r="K2" s="21" t="s">
        <v>55</v>
      </c>
      <c r="L2" s="21">
        <v>4177000</v>
      </c>
    </row>
    <row r="3" spans="1:12" x14ac:dyDescent="0.25">
      <c r="A3" s="1">
        <v>41</v>
      </c>
      <c r="B3" s="1" t="s">
        <v>6</v>
      </c>
      <c r="C3" s="28">
        <f>I3-$L$2</f>
        <v>16056.616830000188</v>
      </c>
      <c r="D3" s="28">
        <f>J3-$L$3</f>
        <v>10527.093719999772</v>
      </c>
      <c r="E3" s="27">
        <v>4145751.0545100002</v>
      </c>
      <c r="F3" s="2">
        <v>405.49709999999999</v>
      </c>
      <c r="G3" s="2">
        <v>369.45600000000002</v>
      </c>
      <c r="H3" s="2">
        <f>F3-G3</f>
        <v>36.041099999999972</v>
      </c>
      <c r="I3" s="27">
        <v>4193056.6168300002</v>
      </c>
      <c r="J3" s="27">
        <v>2408527.0937199998</v>
      </c>
      <c r="K3" s="21" t="s">
        <v>56</v>
      </c>
      <c r="L3" s="21">
        <v>2398000</v>
      </c>
    </row>
    <row r="4" spans="1:12" x14ac:dyDescent="0.25">
      <c r="A4" s="1">
        <v>43</v>
      </c>
      <c r="B4" s="1" t="s">
        <v>7</v>
      </c>
      <c r="C4" s="28">
        <f t="shared" ref="C4:C18" si="0">I4-$L$2</f>
        <v>22564.485589999706</v>
      </c>
      <c r="D4" s="28">
        <f t="shared" ref="D4:D18" si="1">J4-$L$3</f>
        <v>6560.7088399999775</v>
      </c>
      <c r="E4" s="27">
        <v>4140927.9263900002</v>
      </c>
      <c r="F4" s="2">
        <v>36.842500000000001</v>
      </c>
      <c r="G4" s="2">
        <v>0.64690000000000003</v>
      </c>
      <c r="H4" s="2">
        <f t="shared" ref="H4:H18" si="2">F4-G4</f>
        <v>36.195599999999999</v>
      </c>
      <c r="I4" s="27">
        <v>4199564.4855899997</v>
      </c>
      <c r="J4" s="27">
        <v>2404560.70884</v>
      </c>
    </row>
    <row r="5" spans="1:12" x14ac:dyDescent="0.25">
      <c r="A5" s="1">
        <v>44</v>
      </c>
      <c r="B5" s="1" t="s">
        <v>8</v>
      </c>
      <c r="C5" s="28">
        <f t="shared" si="0"/>
        <v>108.09867999982089</v>
      </c>
      <c r="D5" s="28">
        <f t="shared" si="1"/>
        <v>11245.648550000042</v>
      </c>
      <c r="E5" s="27">
        <v>4161118.0300799999</v>
      </c>
      <c r="F5" s="2">
        <v>286.66030000000001</v>
      </c>
      <c r="G5" s="2">
        <v>251.01830000000001</v>
      </c>
      <c r="H5" s="2">
        <f t="shared" si="2"/>
        <v>35.641999999999996</v>
      </c>
      <c r="I5" s="27">
        <v>4177108.0986799998</v>
      </c>
      <c r="J5" s="27">
        <v>2409245.64855</v>
      </c>
    </row>
    <row r="6" spans="1:12" x14ac:dyDescent="0.25">
      <c r="A6" s="1">
        <v>46</v>
      </c>
      <c r="B6" s="1" t="s">
        <v>9</v>
      </c>
      <c r="C6" s="28">
        <f t="shared" si="0"/>
        <v>17107.135259999894</v>
      </c>
      <c r="D6" s="28">
        <f t="shared" si="1"/>
        <v>17762.471530000214</v>
      </c>
      <c r="E6" s="27">
        <v>4139949.7462300002</v>
      </c>
      <c r="F6" s="2">
        <v>39.514099999999999</v>
      </c>
      <c r="G6" s="2">
        <v>3.5407000000000002</v>
      </c>
      <c r="H6" s="2">
        <f t="shared" si="2"/>
        <v>35.973399999999998</v>
      </c>
      <c r="I6" s="27">
        <v>4194107.1352599999</v>
      </c>
      <c r="J6" s="27">
        <v>2415762.4715300002</v>
      </c>
    </row>
    <row r="7" spans="1:12" x14ac:dyDescent="0.25">
      <c r="A7" s="1">
        <v>51</v>
      </c>
      <c r="B7" s="1" t="s">
        <v>10</v>
      </c>
      <c r="C7" s="28">
        <f t="shared" si="0"/>
        <v>3078.8875899999402</v>
      </c>
      <c r="D7" s="28">
        <f t="shared" si="1"/>
        <v>5828.6557800001465</v>
      </c>
      <c r="E7" s="27">
        <v>4161441.6451699999</v>
      </c>
      <c r="F7" s="2">
        <v>401.452</v>
      </c>
      <c r="G7" s="2">
        <v>365.59210000000002</v>
      </c>
      <c r="H7" s="2">
        <f t="shared" si="2"/>
        <v>35.859899999999982</v>
      </c>
      <c r="I7" s="27">
        <v>4180078.8875899999</v>
      </c>
      <c r="J7" s="27">
        <v>2403828.6557800001</v>
      </c>
    </row>
    <row r="8" spans="1:12" x14ac:dyDescent="0.25">
      <c r="A8" s="1">
        <v>52</v>
      </c>
      <c r="B8" s="1" t="s">
        <v>11</v>
      </c>
      <c r="C8" s="28">
        <f t="shared" si="0"/>
        <v>10113.380650000181</v>
      </c>
      <c r="D8" s="28">
        <f t="shared" si="1"/>
        <v>17014.677960000001</v>
      </c>
      <c r="E8" s="27">
        <v>4147809.5332399998</v>
      </c>
      <c r="F8" s="2">
        <v>301.77890000000002</v>
      </c>
      <c r="G8" s="2">
        <v>265.8313</v>
      </c>
      <c r="H8" s="2">
        <f t="shared" si="2"/>
        <v>35.947600000000023</v>
      </c>
      <c r="I8" s="27">
        <v>4187113.3806500002</v>
      </c>
      <c r="J8" s="27">
        <v>2415014.67796</v>
      </c>
    </row>
    <row r="9" spans="1:12" x14ac:dyDescent="0.25">
      <c r="A9" s="1">
        <v>63</v>
      </c>
      <c r="B9" s="1" t="s">
        <v>12</v>
      </c>
      <c r="C9" s="28">
        <f t="shared" si="0"/>
        <v>12203.759589999914</v>
      </c>
      <c r="D9" s="28">
        <f t="shared" si="1"/>
        <v>491.15119000012055</v>
      </c>
      <c r="E9" s="27">
        <v>4155238.4512299998</v>
      </c>
      <c r="F9" s="2">
        <v>307.40989999999999</v>
      </c>
      <c r="G9" s="2">
        <v>271.3494</v>
      </c>
      <c r="H9" s="2">
        <f t="shared" si="2"/>
        <v>36.06049999999999</v>
      </c>
      <c r="I9" s="27">
        <v>4189203.7595899999</v>
      </c>
      <c r="J9" s="27">
        <v>2398491.1511900001</v>
      </c>
    </row>
    <row r="10" spans="1:12" x14ac:dyDescent="0.25">
      <c r="A10" s="1">
        <v>64</v>
      </c>
      <c r="B10" s="1" t="s">
        <v>13</v>
      </c>
      <c r="C10" s="28">
        <f t="shared" si="0"/>
        <v>8264.5847000000067</v>
      </c>
      <c r="D10" s="28">
        <f t="shared" si="1"/>
        <v>3696.8914399999194</v>
      </c>
      <c r="E10" s="27">
        <v>4157409.2872199998</v>
      </c>
      <c r="F10" s="2">
        <v>351.7663</v>
      </c>
      <c r="G10" s="2">
        <v>315.7638</v>
      </c>
      <c r="H10" s="2">
        <f t="shared" si="2"/>
        <v>36.002499999999998</v>
      </c>
      <c r="I10" s="27">
        <v>4185264.5847</v>
      </c>
      <c r="J10" s="27">
        <v>2401696.8914399999</v>
      </c>
    </row>
    <row r="11" spans="1:12" x14ac:dyDescent="0.25">
      <c r="A11" s="1">
        <v>65</v>
      </c>
      <c r="B11" s="1" t="s">
        <v>14</v>
      </c>
      <c r="C11" s="28">
        <f t="shared" si="0"/>
        <v>13237.183100000024</v>
      </c>
      <c r="D11" s="28">
        <f t="shared" si="1"/>
        <v>12266.868249999825</v>
      </c>
      <c r="E11" s="27">
        <v>4147766.7815899998</v>
      </c>
      <c r="F11" s="2">
        <v>528.9837</v>
      </c>
      <c r="G11" s="2">
        <v>492.92660000000001</v>
      </c>
      <c r="H11" s="2">
        <f t="shared" si="2"/>
        <v>36.057099999999991</v>
      </c>
      <c r="I11" s="27">
        <v>4190237.1831</v>
      </c>
      <c r="J11" s="27">
        <v>2410266.8682499998</v>
      </c>
    </row>
    <row r="12" spans="1:12" x14ac:dyDescent="0.25">
      <c r="A12" s="1">
        <v>75</v>
      </c>
      <c r="B12" s="1" t="s">
        <v>15</v>
      </c>
      <c r="C12" s="28">
        <f t="shared" si="0"/>
        <v>16676.32079999987</v>
      </c>
      <c r="D12" s="28">
        <f t="shared" si="1"/>
        <v>2756.3409099997953</v>
      </c>
      <c r="E12" s="27">
        <v>4149637.5741300001</v>
      </c>
      <c r="F12" s="2">
        <v>427.64890000000003</v>
      </c>
      <c r="G12" s="2">
        <v>391.44130000000001</v>
      </c>
      <c r="H12" s="2">
        <f t="shared" si="2"/>
        <v>36.207600000000014</v>
      </c>
      <c r="I12" s="27">
        <v>4193676.3207999999</v>
      </c>
      <c r="J12" s="27">
        <v>2400756.3409099998</v>
      </c>
    </row>
    <row r="13" spans="1:12" x14ac:dyDescent="0.25">
      <c r="A13" s="1">
        <v>76</v>
      </c>
      <c r="B13" s="1" t="s">
        <v>16</v>
      </c>
      <c r="C13" s="28">
        <f t="shared" si="0"/>
        <v>20068.961819999851</v>
      </c>
      <c r="D13" s="28">
        <f t="shared" si="1"/>
        <v>5353.3212600001134</v>
      </c>
      <c r="E13" s="27">
        <v>4144431.19368</v>
      </c>
      <c r="F13" s="2">
        <v>229.59950000000001</v>
      </c>
      <c r="G13" s="2">
        <v>193.3845</v>
      </c>
      <c r="H13" s="2">
        <f t="shared" si="2"/>
        <v>36.215000000000003</v>
      </c>
      <c r="I13" s="27">
        <v>4197068.9618199999</v>
      </c>
      <c r="J13" s="27">
        <v>2403353.3212600001</v>
      </c>
    </row>
    <row r="14" spans="1:12" x14ac:dyDescent="0.25">
      <c r="A14" s="1">
        <v>86</v>
      </c>
      <c r="B14" s="1" t="s">
        <v>17</v>
      </c>
      <c r="C14" s="28">
        <f t="shared" si="0"/>
        <v>9812.1490600001998</v>
      </c>
      <c r="D14" s="28">
        <f t="shared" si="1"/>
        <v>23202.370219999924</v>
      </c>
      <c r="E14" s="27">
        <v>4144281.60696</v>
      </c>
      <c r="F14" s="2">
        <v>141.42619999999999</v>
      </c>
      <c r="G14" s="2">
        <v>105.50620000000001</v>
      </c>
      <c r="H14" s="2">
        <f t="shared" si="2"/>
        <v>35.919999999999987</v>
      </c>
      <c r="I14" s="27">
        <v>4186812.1490600002</v>
      </c>
      <c r="J14" s="27">
        <v>2421202.3702199999</v>
      </c>
    </row>
    <row r="15" spans="1:12" x14ac:dyDescent="0.25">
      <c r="A15" s="1">
        <v>87</v>
      </c>
      <c r="B15" s="1" t="s">
        <v>18</v>
      </c>
      <c r="C15" s="28">
        <f t="shared" si="0"/>
        <v>5941.4972500000149</v>
      </c>
      <c r="D15" s="28">
        <f t="shared" si="1"/>
        <v>19170.424560000189</v>
      </c>
      <c r="E15" s="27">
        <v>4151007.0616100002</v>
      </c>
      <c r="F15" s="2">
        <v>474.97190000000001</v>
      </c>
      <c r="G15" s="2">
        <v>439.13869999999997</v>
      </c>
      <c r="H15" s="2">
        <f t="shared" si="2"/>
        <v>35.833200000000033</v>
      </c>
      <c r="I15" s="27">
        <v>4182941.49725</v>
      </c>
      <c r="J15" s="27">
        <v>2417170.4245600002</v>
      </c>
    </row>
    <row r="16" spans="1:12" x14ac:dyDescent="0.25">
      <c r="A16" s="1">
        <v>88</v>
      </c>
      <c r="B16" s="1" t="s">
        <v>19</v>
      </c>
      <c r="C16" s="28">
        <f t="shared" si="0"/>
        <v>128.38750999979675</v>
      </c>
      <c r="D16" s="28">
        <f t="shared" si="1"/>
        <v>18047.424920000136</v>
      </c>
      <c r="E16" s="27">
        <v>4157204.3396299998</v>
      </c>
      <c r="F16" s="2">
        <v>303.51530000000002</v>
      </c>
      <c r="G16" s="2">
        <v>267.74329999999998</v>
      </c>
      <c r="H16" s="2">
        <f t="shared" si="2"/>
        <v>35.772000000000048</v>
      </c>
      <c r="I16" s="27">
        <v>4177128.3875099998</v>
      </c>
      <c r="J16" s="27">
        <v>2416047.4249200001</v>
      </c>
    </row>
    <row r="17" spans="1:13" x14ac:dyDescent="0.25">
      <c r="A17" s="1">
        <v>92</v>
      </c>
      <c r="B17" s="1" t="s">
        <v>20</v>
      </c>
      <c r="C17" s="28">
        <f t="shared" si="0"/>
        <v>7073.7655400000513</v>
      </c>
      <c r="D17" s="28">
        <f t="shared" si="1"/>
        <v>27156.481300000101</v>
      </c>
      <c r="E17" s="27">
        <v>4144742.5372700002</v>
      </c>
      <c r="F17" s="2">
        <v>148.2174</v>
      </c>
      <c r="G17" s="2">
        <v>112.3935</v>
      </c>
      <c r="H17" s="2">
        <f t="shared" si="2"/>
        <v>35.823899999999995</v>
      </c>
      <c r="I17" s="27">
        <v>4184073.7655400001</v>
      </c>
      <c r="J17" s="27">
        <v>2425156.4813000001</v>
      </c>
    </row>
    <row r="18" spans="1:13" x14ac:dyDescent="0.25">
      <c r="A18" s="1">
        <v>105</v>
      </c>
      <c r="B18" s="1" t="s">
        <v>21</v>
      </c>
      <c r="C18" s="28">
        <f t="shared" si="0"/>
        <v>17488.745380000211</v>
      </c>
      <c r="D18" s="28">
        <f t="shared" si="1"/>
        <v>12762.650619999971</v>
      </c>
      <c r="E18" s="27">
        <v>4142474.6475999998</v>
      </c>
      <c r="F18" s="2">
        <v>49.115499999999997</v>
      </c>
      <c r="G18" s="2">
        <v>13.0769</v>
      </c>
      <c r="H18" s="2">
        <f t="shared" si="2"/>
        <v>36.038599999999995</v>
      </c>
      <c r="I18" s="27">
        <v>4194488.7453800002</v>
      </c>
      <c r="J18" s="27">
        <v>2410762.65062</v>
      </c>
    </row>
    <row r="20" spans="1:13" x14ac:dyDescent="0.25">
      <c r="A20" s="22" t="s">
        <v>35</v>
      </c>
      <c r="B20" s="22"/>
    </row>
    <row r="21" spans="1:13" x14ac:dyDescent="0.25">
      <c r="A21" s="22" t="s">
        <v>24</v>
      </c>
      <c r="B21" s="22"/>
      <c r="C21" s="22"/>
      <c r="D21" s="22"/>
      <c r="E21" s="22"/>
      <c r="F21" s="22"/>
      <c r="G21" s="22"/>
      <c r="H21" s="22"/>
      <c r="I21" s="14"/>
    </row>
    <row r="23" spans="1:13" x14ac:dyDescent="0.25">
      <c r="A23" s="4" t="s">
        <v>1</v>
      </c>
      <c r="B23" s="4" t="s">
        <v>25</v>
      </c>
      <c r="C23" s="4" t="s">
        <v>26</v>
      </c>
      <c r="D23" s="4" t="s">
        <v>27</v>
      </c>
      <c r="E23" s="4" t="s">
        <v>28</v>
      </c>
      <c r="F23" s="4" t="s">
        <v>29</v>
      </c>
      <c r="G23" s="4" t="s">
        <v>30</v>
      </c>
      <c r="H23" s="4" t="s">
        <v>31</v>
      </c>
      <c r="I23" s="4" t="s">
        <v>32</v>
      </c>
      <c r="J23" s="4" t="s">
        <v>33</v>
      </c>
      <c r="K23" s="4" t="s">
        <v>34</v>
      </c>
      <c r="M23" s="8" t="s">
        <v>52</v>
      </c>
    </row>
    <row r="24" spans="1:13" x14ac:dyDescent="0.25">
      <c r="A24" s="4">
        <v>41</v>
      </c>
      <c r="B24" s="20">
        <v>1</v>
      </c>
      <c r="C24" s="20">
        <f>C3</f>
        <v>16056.616830000188</v>
      </c>
      <c r="D24" s="20">
        <f>D3</f>
        <v>10527.093719999772</v>
      </c>
      <c r="E24" s="20">
        <f>C3*C3</f>
        <v>257814944.02544528</v>
      </c>
      <c r="F24" s="20">
        <f>C3*D3</f>
        <v>169029510.19553763</v>
      </c>
      <c r="G24" s="20">
        <f>D3*D3</f>
        <v>110819702.18965863</v>
      </c>
      <c r="H24" s="20">
        <f>C3*C3*C3</f>
        <v>4139635769264.521</v>
      </c>
      <c r="I24" s="20">
        <f>C3*C3*D3</f>
        <v>2714042078172.3574</v>
      </c>
      <c r="J24" s="20">
        <f>C3*D3*D3</f>
        <v>1779389495274.0815</v>
      </c>
      <c r="K24" s="20">
        <f>D3*D3*D3</f>
        <v>1166609390973.0002</v>
      </c>
      <c r="M24" s="7">
        <v>36.041099999999972</v>
      </c>
    </row>
    <row r="25" spans="1:13" x14ac:dyDescent="0.25">
      <c r="A25" s="4">
        <v>43</v>
      </c>
      <c r="B25" s="20">
        <v>1</v>
      </c>
      <c r="C25" s="20">
        <f t="shared" ref="C25:D39" si="3">C4</f>
        <v>22564.485589999706</v>
      </c>
      <c r="D25" s="20">
        <f t="shared" si="3"/>
        <v>6560.7088399999775</v>
      </c>
      <c r="E25" s="20">
        <f t="shared" ref="E25:E39" si="4">C4*C4</f>
        <v>509156009.94130439</v>
      </c>
      <c r="F25" s="20">
        <f t="shared" ref="F25:F39" si="5">C4*D4</f>
        <v>148039020.08036318</v>
      </c>
      <c r="G25" s="20">
        <f t="shared" ref="G25:G39" si="6">D4*D4</f>
        <v>43042900.483253852</v>
      </c>
      <c r="H25" s="20">
        <f t="shared" ref="H25:H39" si="7">C4*C4*C4</f>
        <v>11488843449382.311</v>
      </c>
      <c r="I25" s="20">
        <f t="shared" ref="I25:I39" si="8">C4*C4*D4</f>
        <v>3340424335361.0322</v>
      </c>
      <c r="J25" s="20">
        <f t="shared" ref="J25:J39" si="9">C4*D4*D4</f>
        <v>971240907706.17297</v>
      </c>
      <c r="K25" s="20">
        <f t="shared" ref="K25:K39" si="10">D4*D4*D4</f>
        <v>282391937699.72284</v>
      </c>
      <c r="M25" s="7">
        <v>36.195599999999999</v>
      </c>
    </row>
    <row r="26" spans="1:13" x14ac:dyDescent="0.25">
      <c r="A26" s="4">
        <v>44</v>
      </c>
      <c r="B26" s="20">
        <v>1</v>
      </c>
      <c r="C26" s="20">
        <f t="shared" si="3"/>
        <v>108.09867999982089</v>
      </c>
      <c r="D26" s="20">
        <f t="shared" si="3"/>
        <v>11245.648550000042</v>
      </c>
      <c r="E26" s="20">
        <f t="shared" si="4"/>
        <v>11685.324617703676</v>
      </c>
      <c r="F26" s="20">
        <f t="shared" si="5"/>
        <v>1215639.7639969043</v>
      </c>
      <c r="G26" s="20">
        <f t="shared" si="6"/>
        <v>126464611.31011803</v>
      </c>
      <c r="H26" s="20">
        <f t="shared" si="7"/>
        <v>1263168.166543179</v>
      </c>
      <c r="I26" s="20">
        <f t="shared" si="8"/>
        <v>131409053.84335914</v>
      </c>
      <c r="J26" s="20">
        <f t="shared" si="9"/>
        <v>13670657549.314178</v>
      </c>
      <c r="K26" s="20">
        <f t="shared" si="10"/>
        <v>1422176572805.9478</v>
      </c>
      <c r="M26" s="7">
        <v>35.641999999999996</v>
      </c>
    </row>
    <row r="27" spans="1:13" x14ac:dyDescent="0.25">
      <c r="A27" s="4">
        <v>46</v>
      </c>
      <c r="B27" s="20">
        <v>1</v>
      </c>
      <c r="C27" s="20">
        <f t="shared" si="3"/>
        <v>17107.135259999894</v>
      </c>
      <c r="D27" s="20">
        <f t="shared" si="3"/>
        <v>17762.471530000214</v>
      </c>
      <c r="E27" s="20">
        <f t="shared" si="4"/>
        <v>292654076.80393165</v>
      </c>
      <c r="F27" s="20">
        <f t="shared" si="5"/>
        <v>303865003.01561093</v>
      </c>
      <c r="G27" s="20">
        <f t="shared" si="6"/>
        <v>315505394.8540681</v>
      </c>
      <c r="H27" s="20">
        <f t="shared" si="7"/>
        <v>5006472876275.2559</v>
      </c>
      <c r="I27" s="20">
        <f t="shared" si="8"/>
        <v>5198259707368.332</v>
      </c>
      <c r="J27" s="20">
        <f t="shared" si="9"/>
        <v>5397393465028.2178</v>
      </c>
      <c r="K27" s="20">
        <f t="shared" si="10"/>
        <v>5604155593656.8604</v>
      </c>
      <c r="M27" s="7">
        <v>35.973399999999998</v>
      </c>
    </row>
    <row r="28" spans="1:13" x14ac:dyDescent="0.25">
      <c r="A28" s="4">
        <v>51</v>
      </c>
      <c r="B28" s="20">
        <v>1</v>
      </c>
      <c r="C28" s="20">
        <f t="shared" si="3"/>
        <v>3078.8875899999402</v>
      </c>
      <c r="D28" s="20">
        <f t="shared" si="3"/>
        <v>5828.6557800001465</v>
      </c>
      <c r="E28" s="20">
        <f t="shared" si="4"/>
        <v>9479548.7918556407</v>
      </c>
      <c r="F28" s="20">
        <f t="shared" si="5"/>
        <v>17945775.947423872</v>
      </c>
      <c r="G28" s="20">
        <f t="shared" si="6"/>
        <v>33973228.201729119</v>
      </c>
      <c r="H28" s="20">
        <f t="shared" si="7"/>
        <v>29186465134.043259</v>
      </c>
      <c r="I28" s="20">
        <f t="shared" si="8"/>
        <v>55253026857.442787</v>
      </c>
      <c r="J28" s="20">
        <f t="shared" si="9"/>
        <v>104599750702.53975</v>
      </c>
      <c r="K28" s="20">
        <f t="shared" si="10"/>
        <v>198018252923.2724</v>
      </c>
      <c r="M28" s="7">
        <v>35.859899999999982</v>
      </c>
    </row>
    <row r="29" spans="1:13" x14ac:dyDescent="0.25">
      <c r="A29" s="4">
        <v>52</v>
      </c>
      <c r="B29" s="20">
        <v>1</v>
      </c>
      <c r="C29" s="20">
        <f t="shared" si="3"/>
        <v>10113.380650000181</v>
      </c>
      <c r="D29" s="20">
        <f t="shared" si="3"/>
        <v>17014.677960000001</v>
      </c>
      <c r="E29" s="20">
        <f t="shared" si="4"/>
        <v>102280468.17179808</v>
      </c>
      <c r="F29" s="20">
        <f t="shared" si="5"/>
        <v>172075914.84664857</v>
      </c>
      <c r="G29" s="20">
        <f t="shared" si="6"/>
        <v>289499266.08250982</v>
      </c>
      <c r="H29" s="20">
        <f t="shared" si="7"/>
        <v>1034401307681.6221</v>
      </c>
      <c r="I29" s="20">
        <f t="shared" si="8"/>
        <v>1740269227541.1743</v>
      </c>
      <c r="J29" s="20">
        <f t="shared" si="9"/>
        <v>2927816275788.1084</v>
      </c>
      <c r="K29" s="20">
        <f t="shared" si="10"/>
        <v>4925736782050.2559</v>
      </c>
      <c r="M29" s="7">
        <v>35.947600000000023</v>
      </c>
    </row>
    <row r="30" spans="1:13" x14ac:dyDescent="0.25">
      <c r="A30" s="4">
        <v>63</v>
      </c>
      <c r="B30" s="20">
        <v>1</v>
      </c>
      <c r="C30" s="20">
        <f t="shared" si="3"/>
        <v>12203.759589999914</v>
      </c>
      <c r="D30" s="20">
        <f t="shared" si="3"/>
        <v>491.15119000012055</v>
      </c>
      <c r="E30" s="20">
        <f t="shared" si="4"/>
        <v>148931748.13051486</v>
      </c>
      <c r="F30" s="20">
        <f t="shared" si="5"/>
        <v>5993891.0451038415</v>
      </c>
      <c r="G30" s="20">
        <f t="shared" si="6"/>
        <v>241229.49143853452</v>
      </c>
      <c r="H30" s="20">
        <f t="shared" si="7"/>
        <v>1817527249503.2224</v>
      </c>
      <c r="I30" s="20">
        <f t="shared" si="8"/>
        <v>73148005323.100601</v>
      </c>
      <c r="J30" s="20">
        <f t="shared" si="9"/>
        <v>2943906719.5338178</v>
      </c>
      <c r="K30" s="20">
        <f t="shared" si="10"/>
        <v>118480151.78316012</v>
      </c>
      <c r="M30" s="7">
        <v>36.06049999999999</v>
      </c>
    </row>
    <row r="31" spans="1:13" x14ac:dyDescent="0.25">
      <c r="A31" s="4">
        <v>64</v>
      </c>
      <c r="B31" s="20">
        <v>1</v>
      </c>
      <c r="C31" s="20">
        <f t="shared" si="3"/>
        <v>8264.5847000000067</v>
      </c>
      <c r="D31" s="20">
        <f t="shared" si="3"/>
        <v>3696.8914399999194</v>
      </c>
      <c r="E31" s="20">
        <f t="shared" si="4"/>
        <v>68303360.263474196</v>
      </c>
      <c r="F31" s="20">
        <f t="shared" si="5"/>
        <v>30553272.432584327</v>
      </c>
      <c r="G31" s="20">
        <f t="shared" si="6"/>
        <v>13667006.319144677</v>
      </c>
      <c r="H31" s="20">
        <f t="shared" si="7"/>
        <v>564498906192.09729</v>
      </c>
      <c r="I31" s="20">
        <f t="shared" si="8"/>
        <v>252510107881.2684</v>
      </c>
      <c r="J31" s="20">
        <f t="shared" si="9"/>
        <v>112952131320.00652</v>
      </c>
      <c r="K31" s="20">
        <f t="shared" si="10"/>
        <v>50525438671.670761</v>
      </c>
      <c r="M31" s="7">
        <v>36.002499999999998</v>
      </c>
    </row>
    <row r="32" spans="1:13" x14ac:dyDescent="0.25">
      <c r="A32" s="4">
        <v>65</v>
      </c>
      <c r="B32" s="20">
        <v>1</v>
      </c>
      <c r="C32" s="20">
        <f t="shared" si="3"/>
        <v>13237.183100000024</v>
      </c>
      <c r="D32" s="20">
        <f t="shared" si="3"/>
        <v>12266.868249999825</v>
      </c>
      <c r="E32" s="20">
        <f t="shared" si="4"/>
        <v>175223016.42292625</v>
      </c>
      <c r="F32" s="20">
        <f t="shared" si="5"/>
        <v>162378781.08882454</v>
      </c>
      <c r="G32" s="20">
        <f t="shared" si="6"/>
        <v>150476056.66285378</v>
      </c>
      <c r="H32" s="20">
        <f t="shared" si="7"/>
        <v>2319459151724.5859</v>
      </c>
      <c r="I32" s="20">
        <f t="shared" si="8"/>
        <v>2149437656827.5918</v>
      </c>
      <c r="J32" s="20">
        <f t="shared" si="9"/>
        <v>1991879114212.1738</v>
      </c>
      <c r="K32" s="20">
        <f t="shared" si="10"/>
        <v>1845869961862.7356</v>
      </c>
      <c r="M32" s="7">
        <v>36.057099999999991</v>
      </c>
    </row>
    <row r="33" spans="1:19" x14ac:dyDescent="0.25">
      <c r="A33" s="4">
        <v>75</v>
      </c>
      <c r="B33" s="20">
        <v>1</v>
      </c>
      <c r="C33" s="20">
        <f t="shared" si="3"/>
        <v>16676.32079999987</v>
      </c>
      <c r="D33" s="20">
        <f t="shared" si="3"/>
        <v>2756.3409099997953</v>
      </c>
      <c r="E33" s="20">
        <f t="shared" si="4"/>
        <v>278099675.42450833</v>
      </c>
      <c r="F33" s="20">
        <f t="shared" si="5"/>
        <v>45965625.249320157</v>
      </c>
      <c r="G33" s="20">
        <f t="shared" si="6"/>
        <v>7597415.2121384991</v>
      </c>
      <c r="H33" s="20">
        <f t="shared" si="7"/>
        <v>4637679401754.9414</v>
      </c>
      <c r="I33" s="20">
        <f t="shared" si="8"/>
        <v>766537512430.23694</v>
      </c>
      <c r="J33" s="20">
        <f t="shared" si="9"/>
        <v>126696933328.42068</v>
      </c>
      <c r="K33" s="20">
        <f t="shared" si="10"/>
        <v>20941066359.472118</v>
      </c>
      <c r="M33" s="7">
        <v>36.207600000000014</v>
      </c>
    </row>
    <row r="34" spans="1:19" x14ac:dyDescent="0.25">
      <c r="A34" s="4">
        <v>76</v>
      </c>
      <c r="B34" s="20">
        <v>1</v>
      </c>
      <c r="C34" s="20">
        <f t="shared" si="3"/>
        <v>20068.961819999851</v>
      </c>
      <c r="D34" s="20">
        <f t="shared" si="3"/>
        <v>5353.3212600001134</v>
      </c>
      <c r="E34" s="20">
        <f t="shared" si="4"/>
        <v>402763228.53261173</v>
      </c>
      <c r="F34" s="20">
        <f t="shared" si="5"/>
        <v>107435599.97713578</v>
      </c>
      <c r="G34" s="20">
        <f t="shared" si="6"/>
        <v>28658048.5127692</v>
      </c>
      <c r="H34" s="20">
        <f t="shared" si="7"/>
        <v>8083039855920.8594</v>
      </c>
      <c r="I34" s="20">
        <f t="shared" si="8"/>
        <v>2156120954049.9146</v>
      </c>
      <c r="J34" s="20">
        <f t="shared" si="9"/>
        <v>575137281438.46863</v>
      </c>
      <c r="K34" s="20">
        <f t="shared" si="10"/>
        <v>153415740373.522</v>
      </c>
      <c r="M34" s="7">
        <v>36.215000000000003</v>
      </c>
    </row>
    <row r="35" spans="1:19" x14ac:dyDescent="0.25">
      <c r="A35" s="4">
        <v>86</v>
      </c>
      <c r="B35" s="20">
        <v>1</v>
      </c>
      <c r="C35" s="20">
        <f t="shared" si="3"/>
        <v>9812.1490600001998</v>
      </c>
      <c r="D35" s="20">
        <f t="shared" si="3"/>
        <v>23202.370219999924</v>
      </c>
      <c r="E35" s="20">
        <f t="shared" si="4"/>
        <v>96278269.175662801</v>
      </c>
      <c r="F35" s="20">
        <f t="shared" si="5"/>
        <v>227665115.14394888</v>
      </c>
      <c r="G35" s="20">
        <f t="shared" si="6"/>
        <v>538349983.8259393</v>
      </c>
      <c r="H35" s="20">
        <f t="shared" si="7"/>
        <v>944696728390.4259</v>
      </c>
      <c r="I35" s="20">
        <f t="shared" si="8"/>
        <v>2233884045554.5352</v>
      </c>
      <c r="J35" s="20">
        <f t="shared" si="9"/>
        <v>5282370287748.8135</v>
      </c>
      <c r="K35" s="20">
        <f t="shared" si="10"/>
        <v>12490995632660.414</v>
      </c>
      <c r="M35" s="7">
        <v>35.919999999999987</v>
      </c>
    </row>
    <row r="36" spans="1:19" x14ac:dyDescent="0.25">
      <c r="A36" s="4">
        <v>87</v>
      </c>
      <c r="B36" s="20">
        <v>1</v>
      </c>
      <c r="C36" s="20">
        <f t="shared" si="3"/>
        <v>5941.4972500000149</v>
      </c>
      <c r="D36" s="20">
        <f t="shared" si="3"/>
        <v>19170.424560000189</v>
      </c>
      <c r="E36" s="20">
        <f t="shared" si="4"/>
        <v>35301389.571757741</v>
      </c>
      <c r="F36" s="20">
        <f t="shared" si="5"/>
        <v>113901024.80457386</v>
      </c>
      <c r="G36" s="20">
        <f t="shared" si="6"/>
        <v>367505177.81065845</v>
      </c>
      <c r="H36" s="20">
        <f t="shared" si="7"/>
        <v>209743109061.77783</v>
      </c>
      <c r="I36" s="20">
        <f t="shared" si="8"/>
        <v>676742625648.5592</v>
      </c>
      <c r="J36" s="20">
        <f t="shared" si="9"/>
        <v>2183531003322.7935</v>
      </c>
      <c r="K36" s="20">
        <f t="shared" si="10"/>
        <v>7045230286628.6836</v>
      </c>
      <c r="M36" s="7">
        <v>35.833200000000033</v>
      </c>
    </row>
    <row r="37" spans="1:19" x14ac:dyDescent="0.25">
      <c r="A37" s="4">
        <v>88</v>
      </c>
      <c r="B37" s="20">
        <v>1</v>
      </c>
      <c r="C37" s="20">
        <f t="shared" si="3"/>
        <v>128.38750999979675</v>
      </c>
      <c r="D37" s="20">
        <f t="shared" si="3"/>
        <v>18047.424920000136</v>
      </c>
      <c r="E37" s="20">
        <f t="shared" si="4"/>
        <v>16483.352723947912</v>
      </c>
      <c r="F37" s="20">
        <f t="shared" si="5"/>
        <v>2317063.9473870983</v>
      </c>
      <c r="G37" s="20">
        <f t="shared" si="6"/>
        <v>325709546.24304193</v>
      </c>
      <c r="H37" s="20">
        <f t="shared" si="7"/>
        <v>2116256.6126760393</v>
      </c>
      <c r="I37" s="20">
        <f t="shared" si="8"/>
        <v>297482070.71532965</v>
      </c>
      <c r="J37" s="20">
        <f t="shared" si="9"/>
        <v>41817037625.3078</v>
      </c>
      <c r="K37" s="20">
        <f t="shared" si="10"/>
        <v>5878218581548.6113</v>
      </c>
      <c r="M37" s="7">
        <v>35.772000000000048</v>
      </c>
    </row>
    <row r="38" spans="1:19" x14ac:dyDescent="0.25">
      <c r="A38" s="4">
        <v>92</v>
      </c>
      <c r="B38" s="20">
        <v>1</v>
      </c>
      <c r="C38" s="20">
        <f t="shared" si="3"/>
        <v>7073.7655400000513</v>
      </c>
      <c r="D38" s="20">
        <f t="shared" si="3"/>
        <v>27156.481300000101</v>
      </c>
      <c r="E38" s="20">
        <f t="shared" si="4"/>
        <v>50038158.914892219</v>
      </c>
      <c r="F38" s="20">
        <f t="shared" si="5"/>
        <v>192098581.60759652</v>
      </c>
      <c r="G38" s="20">
        <f t="shared" si="6"/>
        <v>737474476.59725523</v>
      </c>
      <c r="H38" s="20">
        <f t="shared" si="7"/>
        <v>353958204217.21094</v>
      </c>
      <c r="I38" s="20">
        <f t="shared" si="8"/>
        <v>1358860326858.7039</v>
      </c>
      <c r="J38" s="20">
        <f t="shared" si="9"/>
        <v>5216721539183.2383</v>
      </c>
      <c r="K38" s="20">
        <f t="shared" si="10"/>
        <v>20027211832940.723</v>
      </c>
      <c r="M38" s="7">
        <v>35.823899999999995</v>
      </c>
    </row>
    <row r="39" spans="1:19" x14ac:dyDescent="0.25">
      <c r="A39" s="4">
        <v>105</v>
      </c>
      <c r="B39" s="20">
        <v>1</v>
      </c>
      <c r="C39" s="20">
        <f t="shared" si="3"/>
        <v>17488.745380000211</v>
      </c>
      <c r="D39" s="20">
        <f t="shared" si="3"/>
        <v>12762.650619999971</v>
      </c>
      <c r="E39" s="20">
        <f t="shared" si="4"/>
        <v>305856214.96647871</v>
      </c>
      <c r="F39" s="20">
        <f t="shared" si="5"/>
        <v>223202747.06708133</v>
      </c>
      <c r="G39" s="20">
        <f t="shared" si="6"/>
        <v>162885250.84818566</v>
      </c>
      <c r="H39" s="20">
        <f t="shared" si="7"/>
        <v>5349041466439.3555</v>
      </c>
      <c r="I39" s="20">
        <f t="shared" si="8"/>
        <v>3903536011572.7739</v>
      </c>
      <c r="J39" s="20">
        <f t="shared" si="9"/>
        <v>2848658678241.3823</v>
      </c>
      <c r="K39" s="20">
        <f t="shared" si="10"/>
        <v>2078847547726.4475</v>
      </c>
      <c r="M39" s="7">
        <v>36.038599999999995</v>
      </c>
      <c r="R39" s="25" t="s">
        <v>58</v>
      </c>
      <c r="S39" s="25">
        <f>S40-S41</f>
        <v>6</v>
      </c>
    </row>
    <row r="40" spans="1:19" x14ac:dyDescent="0.25">
      <c r="Q40" s="15" t="s">
        <v>48</v>
      </c>
      <c r="R40" s="6" t="s">
        <v>49</v>
      </c>
      <c r="S40" s="6">
        <v>16</v>
      </c>
    </row>
    <row r="41" spans="1:19" x14ac:dyDescent="0.25">
      <c r="Q41" s="13">
        <f t="array" ref="Q41:Q56">(MMULT(B24:K39,N44:N53))-M24:M39</f>
        <v>3.6258420521498635E-2</v>
      </c>
      <c r="R41" s="5" t="s">
        <v>54</v>
      </c>
      <c r="S41" s="5">
        <v>10</v>
      </c>
    </row>
    <row r="42" spans="1:19" x14ac:dyDescent="0.25">
      <c r="Q42" s="13">
        <v>9.4853673791988058E-3</v>
      </c>
      <c r="R42" s="16" t="s">
        <v>53</v>
      </c>
      <c r="S42" s="16">
        <f t="array" ref="S42">SQRT((MMULT(TRANSPOSE(Q41:Q56),Q41:Q56))/((S40-S41)))</f>
        <v>5.3729405139351025E-2</v>
      </c>
    </row>
    <row r="43" spans="1:19" x14ac:dyDescent="0.25">
      <c r="M43" s="10" t="s">
        <v>36</v>
      </c>
      <c r="N43" s="12" t="s">
        <v>37</v>
      </c>
      <c r="Q43" s="13">
        <v>6.2923291217579447E-2</v>
      </c>
      <c r="S43" s="8">
        <f>SQRT(B44)*$S$42</f>
        <v>0.65502073425219509</v>
      </c>
    </row>
    <row r="44" spans="1:19" x14ac:dyDescent="0.25">
      <c r="B44" s="19">
        <f t="array" ref="B44:K53">MINVERSE(MMULT(TRANSPOSE(B24:K39),B24:K39))</f>
        <v>148.62300237172929</v>
      </c>
      <c r="C44" s="9">
        <v>-2.4323647106769496E-2</v>
      </c>
      <c r="D44" s="9">
        <v>-2.5792641971529428E-2</v>
      </c>
      <c r="E44" s="9">
        <v>1.3545927798126858E-6</v>
      </c>
      <c r="F44" s="9">
        <v>2.0038984008954207E-6</v>
      </c>
      <c r="G44" s="9">
        <v>1.3418758486476936E-6</v>
      </c>
      <c r="H44" s="9">
        <v>-2.5125582263217062E-11</v>
      </c>
      <c r="I44" s="9">
        <v>-4.042313606045913E-11</v>
      </c>
      <c r="J44" s="9">
        <v>-4.7457781587501303E-11</v>
      </c>
      <c r="K44" s="9">
        <v>-2.0341859479068377E-11</v>
      </c>
      <c r="M44" s="11">
        <f t="array" ref="M44:M53">MMULT(TRANSPOSE(B24:K39),(M24:M39))</f>
        <v>575.58999999999992</v>
      </c>
      <c r="N44" s="1">
        <f t="array" ref="N44:N53">MMULT(B44:K53,M44:M53)</f>
        <v>35.568223887705244</v>
      </c>
      <c r="O44" s="12" t="s">
        <v>25</v>
      </c>
      <c r="Q44" s="13">
        <v>-5.5831144065336957E-3</v>
      </c>
      <c r="S44" s="8">
        <f t="array" ref="S44">SQRT(C45)*$S$42</f>
        <v>1.0906198578582559E-4</v>
      </c>
    </row>
    <row r="45" spans="1:19" x14ac:dyDescent="0.25">
      <c r="B45" s="9">
        <v>-2.4323647106769777E-2</v>
      </c>
      <c r="C45" s="19">
        <v>4.1202421186019004E-6</v>
      </c>
      <c r="D45" s="9">
        <v>4.1720229267344364E-6</v>
      </c>
      <c r="E45" s="9">
        <v>-2.3639604403465416E-10</v>
      </c>
      <c r="F45" s="9">
        <v>-3.3092775290351063E-10</v>
      </c>
      <c r="G45" s="9">
        <v>-2.1568932752988181E-10</v>
      </c>
      <c r="H45" s="9">
        <v>4.4698141168237628E-15</v>
      </c>
      <c r="I45" s="9">
        <v>6.9279871710887145E-15</v>
      </c>
      <c r="J45" s="9">
        <v>7.6633742390387357E-15</v>
      </c>
      <c r="K45" s="9">
        <v>3.2665553067302043E-15</v>
      </c>
      <c r="M45" s="11">
        <v>6487796.7870133575</v>
      </c>
      <c r="N45" s="1">
        <v>6.7119105360724518E-5</v>
      </c>
      <c r="O45" s="12" t="s">
        <v>39</v>
      </c>
      <c r="Q45" s="13">
        <v>-4.8101440271693718E-2</v>
      </c>
      <c r="S45" s="8">
        <f>SQRT(D46)*$S$42</f>
        <v>1.1465767242204904E-4</v>
      </c>
    </row>
    <row r="46" spans="1:19" x14ac:dyDescent="0.25">
      <c r="B46" s="9">
        <v>-2.579264197152862E-2</v>
      </c>
      <c r="C46" s="9">
        <v>4.1720229267342348E-6</v>
      </c>
      <c r="D46" s="19">
        <v>4.5538862447162869E-6</v>
      </c>
      <c r="E46" s="9">
        <v>-2.3046152957210054E-10</v>
      </c>
      <c r="F46" s="9">
        <v>-3.4911133503250406E-10</v>
      </c>
      <c r="G46" s="9">
        <v>-2.3967779317333751E-10</v>
      </c>
      <c r="H46" s="9">
        <v>4.2574950873240643E-15</v>
      </c>
      <c r="I46" s="9">
        <v>6.9206389973342897E-15</v>
      </c>
      <c r="J46" s="9">
        <v>8.4128746610335377E-15</v>
      </c>
      <c r="K46" s="9">
        <v>3.6578799486640737E-15</v>
      </c>
      <c r="M46" s="11">
        <v>6962868.1964150462</v>
      </c>
      <c r="N46" s="1">
        <v>2.0129500768462094E-5</v>
      </c>
      <c r="O46" s="12" t="s">
        <v>40</v>
      </c>
      <c r="Q46" s="13">
        <v>-1.3490216136631261E-3</v>
      </c>
      <c r="S46" s="8">
        <f>SQRT(E47)*$S$42</f>
        <v>6.359074079950997E-9</v>
      </c>
    </row>
    <row r="47" spans="1:19" x14ac:dyDescent="0.25">
      <c r="B47" s="9">
        <v>1.3545927798127204E-6</v>
      </c>
      <c r="C47" s="9">
        <v>-2.3639604403465695E-10</v>
      </c>
      <c r="D47" s="9">
        <v>-2.3046152957211497E-10</v>
      </c>
      <c r="E47" s="19">
        <v>1.400759910950761E-14</v>
      </c>
      <c r="F47" s="9">
        <v>1.8481819184372121E-14</v>
      </c>
      <c r="G47" s="9">
        <v>1.1869369010307513E-14</v>
      </c>
      <c r="H47" s="9">
        <v>-2.7177073430414252E-19</v>
      </c>
      <c r="I47" s="9">
        <v>-3.9764197177904978E-19</v>
      </c>
      <c r="J47" s="9">
        <v>-4.2133136218178679E-19</v>
      </c>
      <c r="K47" s="9">
        <v>-1.7956926735129291E-19</v>
      </c>
      <c r="M47" s="11">
        <v>98608122736.705627</v>
      </c>
      <c r="N47" s="1">
        <v>-2.4023836202704055E-9</v>
      </c>
      <c r="O47" s="12" t="s">
        <v>41</v>
      </c>
      <c r="Q47" s="13">
        <v>4.0057791503940621E-2</v>
      </c>
      <c r="R47" s="5" t="s">
        <v>50</v>
      </c>
      <c r="S47" s="8">
        <f>SQRT(F48)*$S$42</f>
        <v>8.9333315242829352E-9</v>
      </c>
    </row>
    <row r="48" spans="1:19" x14ac:dyDescent="0.25">
      <c r="A48" s="9" t="s">
        <v>38</v>
      </c>
      <c r="B48" s="9">
        <v>2.003898400895408E-6</v>
      </c>
      <c r="C48" s="9">
        <v>-3.3092775290350282E-10</v>
      </c>
      <c r="D48" s="9">
        <v>-3.4911133503251321E-10</v>
      </c>
      <c r="E48" s="9">
        <v>1.8481819184371417E-14</v>
      </c>
      <c r="F48" s="19">
        <v>2.764412436148596E-14</v>
      </c>
      <c r="G48" s="9">
        <v>1.8140492295406913E-14</v>
      </c>
      <c r="H48" s="9">
        <v>-3.4377943824155325E-19</v>
      </c>
      <c r="I48" s="9">
        <v>-5.6143340934507724E-19</v>
      </c>
      <c r="J48" s="9">
        <v>-6.5838752464664361E-19</v>
      </c>
      <c r="K48" s="9">
        <v>-2.7359327369455505E-19</v>
      </c>
      <c r="M48" s="11">
        <v>69247825774.478867</v>
      </c>
      <c r="N48" s="1">
        <v>-1.8467645090036386E-9</v>
      </c>
      <c r="O48" s="12" t="s">
        <v>42</v>
      </c>
      <c r="Q48" s="13">
        <v>-9.2467254741137594E-3</v>
      </c>
      <c r="S48" s="8">
        <f>SQRT(G49)*$S$42</f>
        <v>6.0711757759242226E-9</v>
      </c>
    </row>
    <row r="49" spans="1:19" x14ac:dyDescent="0.25">
      <c r="B49" s="9">
        <v>1.341875848647611E-6</v>
      </c>
      <c r="C49" s="9">
        <v>-2.1568932752986477E-10</v>
      </c>
      <c r="D49" s="9">
        <v>-2.3967779317333017E-10</v>
      </c>
      <c r="E49" s="9">
        <v>1.1869369010306385E-14</v>
      </c>
      <c r="F49" s="9">
        <v>1.8140492295405875E-14</v>
      </c>
      <c r="G49" s="19">
        <v>1.2767961053929466E-14</v>
      </c>
      <c r="H49" s="9">
        <v>-2.1805568002520977E-19</v>
      </c>
      <c r="I49" s="9">
        <v>-3.5871965894273245E-19</v>
      </c>
      <c r="J49" s="9">
        <v>-4.3937840150646724E-19</v>
      </c>
      <c r="K49" s="9">
        <v>-1.9746912883156228E-19</v>
      </c>
      <c r="M49" s="11">
        <v>116720840428.14949</v>
      </c>
      <c r="N49" s="1">
        <v>-9.1115246500083485E-10</v>
      </c>
      <c r="O49" s="12" t="s">
        <v>43</v>
      </c>
      <c r="Q49" s="13">
        <v>-2.7672958850274654E-2</v>
      </c>
      <c r="S49" s="8">
        <f>SQRT(H50)*$S$42</f>
        <v>1.2533061439233636E-13</v>
      </c>
    </row>
    <row r="50" spans="1:19" x14ac:dyDescent="0.25">
      <c r="B50" s="9">
        <v>-2.51255822632183E-11</v>
      </c>
      <c r="C50" s="9">
        <v>4.4698141168239024E-15</v>
      </c>
      <c r="D50" s="9">
        <v>4.2574950873244279E-15</v>
      </c>
      <c r="E50" s="9">
        <v>-2.7177073430414738E-19</v>
      </c>
      <c r="F50" s="9">
        <v>-3.4377943824157372E-19</v>
      </c>
      <c r="G50" s="9">
        <v>-2.1805568002523582E-19</v>
      </c>
      <c r="H50" s="19">
        <v>5.4411446636551182E-24</v>
      </c>
      <c r="I50" s="9">
        <v>7.352584835274699E-24</v>
      </c>
      <c r="J50" s="9">
        <v>7.9131230507287839E-24</v>
      </c>
      <c r="K50" s="9">
        <v>3.2520862140112716E-24</v>
      </c>
      <c r="M50" s="11">
        <v>1660418664224740.8</v>
      </c>
      <c r="N50" s="1">
        <v>3.9116686265394207E-14</v>
      </c>
      <c r="O50" s="12" t="s">
        <v>44</v>
      </c>
      <c r="Q50" s="13">
        <v>-2.752078537345426E-2</v>
      </c>
      <c r="S50" s="8">
        <f>SQRT(I51)*$S$42</f>
        <v>1.901972021273042E-13</v>
      </c>
    </row>
    <row r="51" spans="1:19" x14ac:dyDescent="0.25">
      <c r="B51" s="9">
        <v>-4.0423136060458303E-11</v>
      </c>
      <c r="C51" s="9">
        <v>6.9279871710884653E-15</v>
      </c>
      <c r="D51" s="9">
        <v>6.9206389973343654E-15</v>
      </c>
      <c r="E51" s="9">
        <v>-3.9764197177903062E-19</v>
      </c>
      <c r="F51" s="9">
        <v>-5.6143340934506983E-19</v>
      </c>
      <c r="G51" s="9">
        <v>-3.5871965894274752E-19</v>
      </c>
      <c r="H51" s="9">
        <v>7.352584835274195E-24</v>
      </c>
      <c r="I51" s="19">
        <v>1.2530955373807768E-23</v>
      </c>
      <c r="J51" s="9">
        <v>1.2472857291635121E-23</v>
      </c>
      <c r="K51" s="9">
        <v>5.5574407438953472E-24</v>
      </c>
      <c r="M51" s="11">
        <v>959198255552213.25</v>
      </c>
      <c r="N51" s="1">
        <v>1.7527456990499691E-14</v>
      </c>
      <c r="O51" s="12" t="s">
        <v>45</v>
      </c>
      <c r="Q51" s="13">
        <v>-1.9603434899117644E-2</v>
      </c>
      <c r="S51" s="8">
        <f t="array" ref="S51">SQRT(J52)*$S$42</f>
        <v>2.1862649775949899E-13</v>
      </c>
    </row>
    <row r="52" spans="1:19" x14ac:dyDescent="0.25">
      <c r="B52" s="9">
        <v>-4.7457781587500495E-11</v>
      </c>
      <c r="C52" s="9">
        <v>7.6633742390384548E-15</v>
      </c>
      <c r="D52" s="9">
        <v>8.4128746610336513E-15</v>
      </c>
      <c r="E52" s="9">
        <v>-4.2133136218176426E-19</v>
      </c>
      <c r="F52" s="9">
        <v>-6.5838752464663484E-19</v>
      </c>
      <c r="G52" s="9">
        <v>-4.3937840150648707E-19</v>
      </c>
      <c r="H52" s="9">
        <v>7.9131230507281771E-24</v>
      </c>
      <c r="I52" s="9">
        <v>1.2472857291635121E-23</v>
      </c>
      <c r="J52" s="19">
        <v>1.6556995502551643E-23</v>
      </c>
      <c r="K52" s="9">
        <v>6.4987859496790279E-24</v>
      </c>
      <c r="M52" s="11">
        <v>1063371145883046.4</v>
      </c>
      <c r="N52" s="1">
        <v>1.4506229022050565E-14</v>
      </c>
      <c r="O52" s="12" t="s">
        <v>46</v>
      </c>
      <c r="Q52" s="13">
        <v>-3.6707460920396784E-2</v>
      </c>
      <c r="S52" s="8">
        <f>SQRT(K53)*$S$42</f>
        <v>9.5127527904308027E-14</v>
      </c>
    </row>
    <row r="53" spans="1:19" x14ac:dyDescent="0.25">
      <c r="B53" s="9">
        <v>-2.0341859479066293E-11</v>
      </c>
      <c r="C53" s="9">
        <v>3.2665553067298237E-15</v>
      </c>
      <c r="D53" s="9">
        <v>3.6578799486638205E-15</v>
      </c>
      <c r="E53" s="9">
        <v>-1.7956926735126953E-19</v>
      </c>
      <c r="F53" s="9">
        <v>-2.7359327369452876E-19</v>
      </c>
      <c r="G53" s="9">
        <v>-1.9746912883155496E-19</v>
      </c>
      <c r="H53" s="9">
        <v>3.2520862140107628E-24</v>
      </c>
      <c r="I53" s="9">
        <v>5.557440743894924E-24</v>
      </c>
      <c r="J53" s="9">
        <v>6.4987859496784681E-24</v>
      </c>
      <c r="K53" s="19">
        <v>3.1346449497172156E-24</v>
      </c>
      <c r="M53" s="11">
        <v>2267197452376276.5</v>
      </c>
      <c r="N53" s="1">
        <v>1.4327038603180154E-14</v>
      </c>
      <c r="O53" s="12" t="s">
        <v>47</v>
      </c>
      <c r="Q53" s="13">
        <v>4.2371964403692175E-2</v>
      </c>
    </row>
    <row r="54" spans="1:19" x14ac:dyDescent="0.25">
      <c r="Q54" s="13">
        <v>-4.8133561475850684E-2</v>
      </c>
    </row>
    <row r="55" spans="1:19" x14ac:dyDescent="0.25">
      <c r="Q55" s="13">
        <v>1.9100362540186211E-2</v>
      </c>
    </row>
    <row r="56" spans="1:19" x14ac:dyDescent="0.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3">
        <v>1.3721307219320522E-2</v>
      </c>
    </row>
    <row r="57" spans="1:19" x14ac:dyDescent="0.25">
      <c r="A57" s="17"/>
      <c r="B57" s="10" t="s">
        <v>57</v>
      </c>
      <c r="C57" s="10" t="s">
        <v>59</v>
      </c>
      <c r="D57" s="10" t="s">
        <v>62</v>
      </c>
      <c r="E57" s="10" t="s">
        <v>63</v>
      </c>
      <c r="F57" s="17"/>
      <c r="G57" s="29" t="s">
        <v>1</v>
      </c>
      <c r="H57" s="29" t="s">
        <v>2</v>
      </c>
      <c r="I57" s="29" t="s">
        <v>23</v>
      </c>
      <c r="J57" s="29" t="s">
        <v>64</v>
      </c>
      <c r="K57" s="29" t="s">
        <v>65</v>
      </c>
      <c r="L57" s="17"/>
      <c r="M57" s="17"/>
      <c r="N57" s="17"/>
      <c r="O57" s="17"/>
      <c r="P57" s="17"/>
    </row>
    <row r="58" spans="1:19" x14ac:dyDescent="0.25">
      <c r="A58" s="17"/>
      <c r="B58" s="11">
        <f t="array" ref="B58">ABS(N44)/S43</f>
        <v>54.300912975391128</v>
      </c>
      <c r="C58" s="11">
        <f t="array" ref="C58:C66">FINV((1-0.05),$S$39,$S$39)</f>
        <v>0.23343402123304799</v>
      </c>
      <c r="D58" s="11" t="s">
        <v>61</v>
      </c>
      <c r="E58" s="11" t="s">
        <v>25</v>
      </c>
      <c r="F58" s="17"/>
      <c r="G58" s="29">
        <v>41</v>
      </c>
      <c r="H58" s="29" t="s">
        <v>6</v>
      </c>
      <c r="I58" s="29">
        <v>369.45600000000002</v>
      </c>
      <c r="J58" s="29">
        <f>I58+Q41</f>
        <v>369.49225842052152</v>
      </c>
      <c r="K58" s="29">
        <f>I58-J58</f>
        <v>-3.6258420521505741E-2</v>
      </c>
      <c r="L58" s="17"/>
      <c r="M58" s="17"/>
      <c r="N58" s="17"/>
      <c r="O58" s="17"/>
      <c r="P58" s="17"/>
    </row>
    <row r="59" spans="1:19" x14ac:dyDescent="0.25">
      <c r="A59" s="17"/>
      <c r="B59" s="11">
        <f t="array" ref="B59">ABS(N45)/S44</f>
        <v>0.61542163272665951</v>
      </c>
      <c r="C59" s="11">
        <v>0.23343402123304799</v>
      </c>
      <c r="D59" s="11" t="s">
        <v>61</v>
      </c>
      <c r="E59" s="11" t="s">
        <v>39</v>
      </c>
      <c r="F59" s="17"/>
      <c r="G59" s="29">
        <v>43</v>
      </c>
      <c r="H59" s="29" t="s">
        <v>7</v>
      </c>
      <c r="I59" s="29">
        <v>0.64690000000000003</v>
      </c>
      <c r="J59" s="29">
        <f t="shared" ref="J59:J62" si="11">I59+Q42</f>
        <v>0.65638536737919884</v>
      </c>
      <c r="K59" s="29">
        <f t="shared" ref="K59:K62" si="12">I59-J59</f>
        <v>-9.4853673791988058E-3</v>
      </c>
      <c r="L59" s="17"/>
      <c r="M59" s="17"/>
      <c r="N59" s="17"/>
      <c r="O59" s="17"/>
      <c r="P59" s="17"/>
    </row>
    <row r="60" spans="1:19" x14ac:dyDescent="0.25">
      <c r="A60" s="17"/>
      <c r="B60" s="11">
        <f t="array" ref="B60">ABS(N46)/S45</f>
        <v>0.17556174256151327</v>
      </c>
      <c r="C60" s="11">
        <v>0.23343402123304799</v>
      </c>
      <c r="D60" s="26" t="s">
        <v>60</v>
      </c>
      <c r="E60" s="26" t="s">
        <v>40</v>
      </c>
      <c r="F60" s="17"/>
      <c r="G60" s="29">
        <v>44</v>
      </c>
      <c r="H60" s="29" t="s">
        <v>8</v>
      </c>
      <c r="I60" s="29">
        <v>251.01830000000001</v>
      </c>
      <c r="J60" s="29">
        <f t="shared" si="11"/>
        <v>251.08122329121758</v>
      </c>
      <c r="K60" s="29">
        <f t="shared" si="12"/>
        <v>-6.2923291217572341E-2</v>
      </c>
      <c r="L60" s="18"/>
      <c r="M60" s="17"/>
      <c r="N60" s="17"/>
      <c r="O60" s="18"/>
      <c r="P60" s="17"/>
    </row>
    <row r="61" spans="1:19" x14ac:dyDescent="0.25">
      <c r="A61" s="17"/>
      <c r="B61" s="11">
        <f t="array" ref="B61">ABS(N47)/S46</f>
        <v>0.37778827390054848</v>
      </c>
      <c r="C61" s="11">
        <v>0.23343402123304799</v>
      </c>
      <c r="D61" s="11" t="s">
        <v>61</v>
      </c>
      <c r="E61" s="11" t="s">
        <v>41</v>
      </c>
      <c r="F61" s="17"/>
      <c r="G61" s="29">
        <v>46</v>
      </c>
      <c r="H61" s="29" t="s">
        <v>9</v>
      </c>
      <c r="I61" s="29">
        <v>3.5407000000000002</v>
      </c>
      <c r="J61" s="29">
        <f t="shared" si="11"/>
        <v>3.5351168855934665</v>
      </c>
      <c r="K61" s="29">
        <f t="shared" si="12"/>
        <v>5.5831144065336957E-3</v>
      </c>
      <c r="L61" s="18"/>
      <c r="M61" s="17"/>
      <c r="N61" s="17"/>
      <c r="O61" s="18"/>
      <c r="P61" s="17"/>
    </row>
    <row r="62" spans="1:19" x14ac:dyDescent="0.25">
      <c r="A62" s="17"/>
      <c r="B62" s="11">
        <f t="array" ref="B62">ABS(N48)/S47</f>
        <v>0.20672741227432231</v>
      </c>
      <c r="C62" s="11">
        <v>0.23343402123304799</v>
      </c>
      <c r="D62" s="26" t="s">
        <v>60</v>
      </c>
      <c r="E62" s="26" t="s">
        <v>42</v>
      </c>
      <c r="F62" s="17"/>
      <c r="G62" s="29">
        <v>51</v>
      </c>
      <c r="H62" s="29" t="s">
        <v>10</v>
      </c>
      <c r="I62" s="29">
        <v>365.59210000000002</v>
      </c>
      <c r="J62" s="29">
        <f t="shared" si="11"/>
        <v>365.54399855972832</v>
      </c>
      <c r="K62" s="29">
        <f t="shared" si="12"/>
        <v>4.8101440271693718E-2</v>
      </c>
      <c r="L62" s="18"/>
      <c r="M62" s="17"/>
      <c r="N62" s="17"/>
      <c r="O62" s="18"/>
      <c r="P62" s="17"/>
    </row>
    <row r="63" spans="1:19" x14ac:dyDescent="0.25">
      <c r="A63" s="17"/>
      <c r="B63" s="11">
        <f t="array" ref="B63">ABS(N49)/S48</f>
        <v>0.15007841950715534</v>
      </c>
      <c r="C63" s="11">
        <v>0.23343402123304799</v>
      </c>
      <c r="D63" s="26" t="s">
        <v>60</v>
      </c>
      <c r="E63" s="26" t="s">
        <v>43</v>
      </c>
      <c r="F63" s="17"/>
      <c r="G63" s="17"/>
      <c r="H63" s="17"/>
      <c r="I63" s="17"/>
      <c r="J63" s="17"/>
      <c r="K63" s="17"/>
      <c r="L63" s="18"/>
      <c r="M63" s="17"/>
      <c r="N63" s="17"/>
      <c r="O63" s="18"/>
      <c r="P63" s="17"/>
    </row>
    <row r="64" spans="1:19" x14ac:dyDescent="0.25">
      <c r="A64" s="17"/>
      <c r="B64" s="11">
        <f t="array" ref="B64">ABS(N50)/S49</f>
        <v>0.31210799097292297</v>
      </c>
      <c r="C64" s="11">
        <v>0.23343402123304799</v>
      </c>
      <c r="D64" s="11" t="s">
        <v>61</v>
      </c>
      <c r="E64" s="11" t="s">
        <v>44</v>
      </c>
      <c r="F64" s="17"/>
      <c r="G64" s="17"/>
      <c r="H64" s="17"/>
      <c r="I64" s="17"/>
      <c r="J64" s="17"/>
      <c r="K64" s="17"/>
      <c r="L64" s="18"/>
      <c r="M64" s="17"/>
      <c r="N64" s="17"/>
      <c r="O64" s="18"/>
      <c r="P64" s="17"/>
    </row>
    <row r="65" spans="1:16" x14ac:dyDescent="0.25">
      <c r="A65" s="17"/>
      <c r="B65" s="11">
        <f t="array" ref="B65">ABS(N51)/S50</f>
        <v>9.2154126319734631E-2</v>
      </c>
      <c r="C65" s="11">
        <v>0.23343402123304799</v>
      </c>
      <c r="D65" s="26" t="s">
        <v>60</v>
      </c>
      <c r="E65" s="26" t="s">
        <v>45</v>
      </c>
      <c r="F65" s="17"/>
      <c r="G65" s="17"/>
      <c r="H65" s="17"/>
      <c r="I65" s="17"/>
      <c r="J65" s="17"/>
      <c r="K65" s="17"/>
      <c r="L65" s="18"/>
      <c r="M65" s="17"/>
      <c r="N65" s="17"/>
      <c r="O65" s="18"/>
      <c r="P65" s="17"/>
    </row>
    <row r="66" spans="1:16" x14ac:dyDescent="0.25">
      <c r="A66" s="17"/>
      <c r="B66" s="11">
        <f t="array" ref="B66">ABS(N52)/S51</f>
        <v>6.6351650740928053E-2</v>
      </c>
      <c r="C66" s="11">
        <v>0.23343402123304799</v>
      </c>
      <c r="D66" s="26" t="s">
        <v>60</v>
      </c>
      <c r="E66" s="26" t="s">
        <v>46</v>
      </c>
      <c r="F66" s="17"/>
      <c r="G66" s="17"/>
      <c r="H66" s="17"/>
      <c r="I66" s="17"/>
      <c r="J66" s="17"/>
      <c r="K66" s="17"/>
      <c r="L66" s="18"/>
      <c r="M66" s="17"/>
      <c r="N66" s="17"/>
      <c r="O66" s="18"/>
      <c r="P66" s="17"/>
    </row>
    <row r="67" spans="1:16" x14ac:dyDescent="0.25">
      <c r="A67" s="17"/>
      <c r="B67" s="11">
        <f t="array" ref="B67">ABS(N53)/S52</f>
        <v>0.15060875562321144</v>
      </c>
      <c r="C67" s="11">
        <f>FINV(1-0.05,$S$39,$S$39)</f>
        <v>0.23343402123304799</v>
      </c>
      <c r="D67" s="26" t="s">
        <v>60</v>
      </c>
      <c r="E67" s="26" t="s">
        <v>47</v>
      </c>
      <c r="F67" s="17"/>
      <c r="G67" s="17"/>
      <c r="H67" s="17"/>
      <c r="I67" s="17"/>
      <c r="J67" s="17"/>
      <c r="K67" s="17"/>
      <c r="L67" s="18"/>
      <c r="M67" s="17"/>
      <c r="N67" s="17"/>
      <c r="O67" s="18"/>
      <c r="P67" s="17"/>
    </row>
    <row r="68" spans="1:16" x14ac:dyDescent="0.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8"/>
      <c r="M68" s="17"/>
      <c r="N68" s="17"/>
      <c r="O68" s="18"/>
      <c r="P68" s="17"/>
    </row>
    <row r="69" spans="1:16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8"/>
      <c r="M69" s="17"/>
      <c r="N69" s="17"/>
      <c r="O69" s="18"/>
      <c r="P69" s="17"/>
    </row>
    <row r="70" spans="1:16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8"/>
      <c r="M70" s="17"/>
      <c r="N70" s="17"/>
      <c r="O70" s="18"/>
      <c r="P70" s="17"/>
    </row>
    <row r="71" spans="1:16" x14ac:dyDescent="0.25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8"/>
      <c r="M71" s="17"/>
      <c r="N71" s="17"/>
      <c r="O71" s="18"/>
      <c r="P71" s="17"/>
    </row>
    <row r="72" spans="1:16" x14ac:dyDescent="0.25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8"/>
      <c r="M72" s="17"/>
      <c r="N72" s="17"/>
      <c r="O72" s="18"/>
      <c r="P72" s="17"/>
    </row>
    <row r="73" spans="1:16" x14ac:dyDescent="0.25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8"/>
      <c r="M73" s="17"/>
      <c r="N73" s="17"/>
      <c r="O73" s="18"/>
      <c r="P73" s="17"/>
    </row>
    <row r="74" spans="1:16" x14ac:dyDescent="0.25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8"/>
    </row>
    <row r="75" spans="1:16" x14ac:dyDescent="0.2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8"/>
    </row>
    <row r="76" spans="1:16" x14ac:dyDescent="0.25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spans="1:16" x14ac:dyDescent="0.25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spans="1:16" x14ac:dyDescent="0.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spans="1:16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spans="1:16" x14ac:dyDescent="0.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spans="1:12" x14ac:dyDescent="0.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spans="1:12" x14ac:dyDescent="0.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spans="1:12" x14ac:dyDescent="0.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spans="1:12" x14ac:dyDescent="0.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spans="1:12" x14ac:dyDescent="0.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spans="1:12" x14ac:dyDescent="0.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spans="1:12" x14ac:dyDescent="0.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spans="1:12" x14ac:dyDescent="0.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spans="1:12" x14ac:dyDescent="0.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spans="1:12" x14ac:dyDescent="0.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</row>
  </sheetData>
  <mergeCells count="3">
    <mergeCell ref="A21:H21"/>
    <mergeCell ref="A20:B20"/>
    <mergeCell ref="A1:J1"/>
  </mergeCells>
  <phoneticPr fontId="1" type="noConversion"/>
  <pageMargins left="0.7" right="0.7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Onur YILDIZ</dc:creator>
  <cp:lastModifiedBy>Onur YILDIZ</cp:lastModifiedBy>
  <dcterms:created xsi:type="dcterms:W3CDTF">2015-06-05T18:19:34Z</dcterms:created>
  <dcterms:modified xsi:type="dcterms:W3CDTF">2021-05-04T11:29:20Z</dcterms:modified>
</cp:coreProperties>
</file>