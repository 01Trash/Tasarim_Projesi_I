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gnser\Desktop\Tasarim_I\"/>
    </mc:Choice>
  </mc:AlternateContent>
  <xr:revisionPtr revIDLastSave="0" documentId="13_ncr:1_{BDBCABB3-3B36-4F49-9607-41B4E15F3FC9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1" i="1" l="1"/>
  <c r="N61" i="1" l="1"/>
  <c r="N71" i="1" s="1"/>
  <c r="I62" i="1" a="1"/>
  <c r="I62" i="1" s="1"/>
  <c r="H62" i="1" a="1"/>
  <c r="H62" i="1" s="1"/>
  <c r="J62" i="1" s="1" a="1"/>
  <c r="J62" i="1" s="1"/>
  <c r="K62" i="1" l="1" a="1"/>
  <c r="K63" i="1" s="1"/>
  <c r="L3" i="1"/>
  <c r="D5" i="1" s="1"/>
  <c r="L2" i="1"/>
  <c r="C4" i="1" s="1"/>
  <c r="B62" i="1"/>
  <c r="B63" i="1" s="1"/>
  <c r="B64" i="1" s="1"/>
  <c r="B65" i="1" s="1"/>
  <c r="B66" i="1" s="1"/>
  <c r="B67" i="1" s="1"/>
  <c r="B68" i="1" s="1"/>
  <c r="B69" i="1" s="1"/>
  <c r="B70" i="1" s="1"/>
  <c r="S39" i="1"/>
  <c r="K75" i="1" l="1"/>
  <c r="K71" i="1"/>
  <c r="K68" i="1"/>
  <c r="K64" i="1"/>
  <c r="K76" i="1"/>
  <c r="K72" i="1"/>
  <c r="K65" i="1"/>
  <c r="K73" i="1"/>
  <c r="K69" i="1"/>
  <c r="K66" i="1"/>
  <c r="K77" i="1"/>
  <c r="K74" i="1"/>
  <c r="K62" i="1"/>
  <c r="K67" i="1"/>
  <c r="K70" i="1"/>
  <c r="C7" i="1"/>
  <c r="C8" i="1"/>
  <c r="D3" i="1"/>
  <c r="K24" i="1" s="1"/>
  <c r="D16" i="1"/>
  <c r="C37" i="1" s="1"/>
  <c r="C3" i="1"/>
  <c r="D15" i="1"/>
  <c r="C36" i="1" s="1"/>
  <c r="C16" i="1"/>
  <c r="D11" i="1"/>
  <c r="C32" i="1" s="1"/>
  <c r="C15" i="1"/>
  <c r="D8" i="1"/>
  <c r="C29" i="1" s="1"/>
  <c r="C11" i="1"/>
  <c r="D7" i="1"/>
  <c r="C28" i="1" s="1"/>
  <c r="C18" i="1"/>
  <c r="C10" i="1"/>
  <c r="D18" i="1"/>
  <c r="D10" i="1"/>
  <c r="C17" i="1"/>
  <c r="C9" i="1"/>
  <c r="D17" i="1"/>
  <c r="C38" i="1" s="1"/>
  <c r="D9" i="1"/>
  <c r="C30" i="1" s="1"/>
  <c r="C14" i="1"/>
  <c r="C6" i="1"/>
  <c r="D14" i="1"/>
  <c r="C35" i="1" s="1"/>
  <c r="D6" i="1"/>
  <c r="C27" i="1" s="1"/>
  <c r="C13" i="1"/>
  <c r="C5" i="1"/>
  <c r="D13" i="1"/>
  <c r="C34" i="1" s="1"/>
  <c r="C12" i="1"/>
  <c r="D33" i="1" s="1"/>
  <c r="D12" i="1"/>
  <c r="C33" i="1" s="1"/>
  <c r="D4" i="1"/>
  <c r="C25" i="1" s="1"/>
  <c r="C26" i="1"/>
  <c r="C31" i="1"/>
  <c r="C39" i="1"/>
  <c r="D25" i="1"/>
  <c r="D39" i="1"/>
  <c r="N65" i="1" l="1" a="1"/>
  <c r="N65" i="1" s="1"/>
  <c r="N66" i="1" s="1" a="1"/>
  <c r="N66" i="1" s="1"/>
  <c r="M71" i="1" s="1"/>
  <c r="C24" i="1"/>
  <c r="G25" i="1"/>
  <c r="G33" i="1"/>
  <c r="J37" i="1"/>
  <c r="D37" i="1"/>
  <c r="J38" i="1"/>
  <c r="D38" i="1"/>
  <c r="J28" i="1"/>
  <c r="D28" i="1"/>
  <c r="J35" i="1"/>
  <c r="D35" i="1"/>
  <c r="J27" i="1"/>
  <c r="D27" i="1"/>
  <c r="J36" i="1"/>
  <c r="D36" i="1"/>
  <c r="J34" i="1"/>
  <c r="D34" i="1"/>
  <c r="J29" i="1"/>
  <c r="D29" i="1"/>
  <c r="J26" i="1"/>
  <c r="D26" i="1"/>
  <c r="E24" i="1"/>
  <c r="D24" i="1"/>
  <c r="E32" i="1"/>
  <c r="D32" i="1"/>
  <c r="E39" i="1"/>
  <c r="J30" i="1"/>
  <c r="D30" i="1"/>
  <c r="J31" i="1"/>
  <c r="D31" i="1"/>
  <c r="E31" i="1"/>
  <c r="F33" i="1"/>
  <c r="F25" i="1"/>
  <c r="H33" i="1"/>
  <c r="H25" i="1"/>
  <c r="I33" i="1"/>
  <c r="I25" i="1"/>
  <c r="J33" i="1"/>
  <c r="J25" i="1"/>
  <c r="K33" i="1"/>
  <c r="K25" i="1"/>
  <c r="E38" i="1"/>
  <c r="E30" i="1"/>
  <c r="F24" i="1"/>
  <c r="F32" i="1"/>
  <c r="G24" i="1"/>
  <c r="G32" i="1"/>
  <c r="H24" i="1"/>
  <c r="H32" i="1"/>
  <c r="I24" i="1"/>
  <c r="I32" i="1"/>
  <c r="J24" i="1"/>
  <c r="J32" i="1"/>
  <c r="K32" i="1"/>
  <c r="E37" i="1"/>
  <c r="E29" i="1"/>
  <c r="F39" i="1"/>
  <c r="F31" i="1"/>
  <c r="G39" i="1"/>
  <c r="G31" i="1"/>
  <c r="H39" i="1"/>
  <c r="H31" i="1"/>
  <c r="I39" i="1"/>
  <c r="I31" i="1"/>
  <c r="J39" i="1"/>
  <c r="K39" i="1"/>
  <c r="K31" i="1"/>
  <c r="E36" i="1"/>
  <c r="E28" i="1"/>
  <c r="F38" i="1"/>
  <c r="F30" i="1"/>
  <c r="G38" i="1"/>
  <c r="G30" i="1"/>
  <c r="H38" i="1"/>
  <c r="H30" i="1"/>
  <c r="I38" i="1"/>
  <c r="I30" i="1"/>
  <c r="K38" i="1"/>
  <c r="K30" i="1"/>
  <c r="E35" i="1"/>
  <c r="E27" i="1"/>
  <c r="F37" i="1"/>
  <c r="F29" i="1"/>
  <c r="G37" i="1"/>
  <c r="G29" i="1"/>
  <c r="H37" i="1"/>
  <c r="H29" i="1"/>
  <c r="I37" i="1"/>
  <c r="I29" i="1"/>
  <c r="K37" i="1"/>
  <c r="K29" i="1"/>
  <c r="E34" i="1"/>
  <c r="E26" i="1"/>
  <c r="F36" i="1"/>
  <c r="F28" i="1"/>
  <c r="G36" i="1"/>
  <c r="G28" i="1"/>
  <c r="H36" i="1"/>
  <c r="H28" i="1"/>
  <c r="I36" i="1"/>
  <c r="I28" i="1"/>
  <c r="K36" i="1"/>
  <c r="K28" i="1"/>
  <c r="E33" i="1"/>
  <c r="E25" i="1"/>
  <c r="F35" i="1"/>
  <c r="F27" i="1"/>
  <c r="G35" i="1"/>
  <c r="G27" i="1"/>
  <c r="H35" i="1"/>
  <c r="H27" i="1"/>
  <c r="I35" i="1"/>
  <c r="I27" i="1"/>
  <c r="K35" i="1"/>
  <c r="K27" i="1"/>
  <c r="F34" i="1"/>
  <c r="F26" i="1"/>
  <c r="G34" i="1"/>
  <c r="G26" i="1"/>
  <c r="H34" i="1"/>
  <c r="H26" i="1"/>
  <c r="I34" i="1"/>
  <c r="I26" i="1"/>
  <c r="K34" i="1"/>
  <c r="K2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  <c r="M44" i="1" l="1" a="1"/>
  <c r="B44" i="1" a="1"/>
  <c r="D44" i="1" s="1"/>
  <c r="M45" i="1" l="1"/>
  <c r="M46" i="1"/>
  <c r="M50" i="1"/>
  <c r="M49" i="1"/>
  <c r="M48" i="1"/>
  <c r="M44" i="1"/>
  <c r="M53" i="1"/>
  <c r="M52" i="1"/>
  <c r="M51" i="1"/>
  <c r="M47" i="1"/>
  <c r="E44" i="1"/>
  <c r="B47" i="1"/>
  <c r="K44" i="1"/>
  <c r="G44" i="1"/>
  <c r="H49" i="1"/>
  <c r="D49" i="1"/>
  <c r="I50" i="1"/>
  <c r="C50" i="1"/>
  <c r="J48" i="1"/>
  <c r="B49" i="1"/>
  <c r="G51" i="1"/>
  <c r="J47" i="1"/>
  <c r="I45" i="1"/>
  <c r="E52" i="1"/>
  <c r="G53" i="1"/>
  <c r="J46" i="1"/>
  <c r="F53" i="1"/>
  <c r="G45" i="1"/>
  <c r="H47" i="1"/>
  <c r="I52" i="1"/>
  <c r="F51" i="1"/>
  <c r="B50" i="1"/>
  <c r="B51" i="1"/>
  <c r="C52" i="1"/>
  <c r="D48" i="1"/>
  <c r="D53" i="1"/>
  <c r="C51" i="1"/>
  <c r="C45" i="1"/>
  <c r="K50" i="1"/>
  <c r="I44" i="1"/>
  <c r="K51" i="1"/>
  <c r="J49" i="1"/>
  <c r="K45" i="1"/>
  <c r="F48" i="1"/>
  <c r="E45" i="1"/>
  <c r="I51" i="1"/>
  <c r="H48" i="1"/>
  <c r="E46" i="1"/>
  <c r="F50" i="1"/>
  <c r="E47" i="1"/>
  <c r="B44" i="1"/>
  <c r="H50" i="1"/>
  <c r="I46" i="1"/>
  <c r="C53" i="1"/>
  <c r="C46" i="1"/>
  <c r="G52" i="1"/>
  <c r="F49" i="1"/>
  <c r="C47" i="1"/>
  <c r="J44" i="1"/>
  <c r="D51" i="1"/>
  <c r="C48" i="1"/>
  <c r="G46" i="1"/>
  <c r="B45" i="1"/>
  <c r="G47" i="1"/>
  <c r="K53" i="1"/>
  <c r="K46" i="1"/>
  <c r="E53" i="1"/>
  <c r="D50" i="1"/>
  <c r="K47" i="1"/>
  <c r="H45" i="1"/>
  <c r="B52" i="1"/>
  <c r="K48" i="1"/>
  <c r="G50" i="1"/>
  <c r="J45" i="1"/>
  <c r="D52" i="1"/>
  <c r="E48" i="1"/>
  <c r="F44" i="1"/>
  <c r="J50" i="1"/>
  <c r="I47" i="1"/>
  <c r="H44" i="1"/>
  <c r="I48" i="1"/>
  <c r="F46" i="1"/>
  <c r="J52" i="1"/>
  <c r="I49" i="1"/>
  <c r="H46" i="1"/>
  <c r="B53" i="1"/>
  <c r="C49" i="1"/>
  <c r="D45" i="1"/>
  <c r="H51" i="1"/>
  <c r="G48" i="1"/>
  <c r="F45" i="1"/>
  <c r="J51" i="1"/>
  <c r="G49" i="1"/>
  <c r="D47" i="1"/>
  <c r="H53" i="1"/>
  <c r="E51" i="1"/>
  <c r="I53" i="1"/>
  <c r="F47" i="1"/>
  <c r="J53" i="1"/>
  <c r="K49" i="1"/>
  <c r="B46" i="1"/>
  <c r="F52" i="1"/>
  <c r="E49" i="1"/>
  <c r="D46" i="1"/>
  <c r="H52" i="1"/>
  <c r="E50" i="1"/>
  <c r="B48" i="1"/>
  <c r="C44" i="1"/>
  <c r="K52" i="1"/>
  <c r="N44" i="1" l="1" a="1"/>
  <c r="N45" i="1" l="1"/>
  <c r="N48" i="1"/>
  <c r="N47" i="1"/>
  <c r="N52" i="1"/>
  <c r="N44" i="1"/>
  <c r="E84" i="1" s="1"/>
  <c r="N51" i="1"/>
  <c r="N46" i="1"/>
  <c r="N50" i="1"/>
  <c r="N53" i="1"/>
  <c r="N49" i="1"/>
  <c r="E88" i="1" l="1"/>
  <c r="F88" i="1" s="1"/>
  <c r="E91" i="1"/>
  <c r="F91" i="1" s="1"/>
  <c r="E89" i="1"/>
  <c r="F89" i="1" s="1"/>
  <c r="E90" i="1"/>
  <c r="F90" i="1" s="1"/>
  <c r="E87" i="1"/>
  <c r="F87" i="1" s="1"/>
  <c r="Q40" i="1" a="1"/>
  <c r="Q44" i="1" s="1"/>
  <c r="Q45" i="1" l="1"/>
  <c r="Q52" i="1"/>
  <c r="Q49" i="1"/>
  <c r="Q48" i="1"/>
  <c r="Q41" i="1"/>
  <c r="Q42" i="1"/>
  <c r="Q53" i="1"/>
  <c r="Q47" i="1"/>
  <c r="Q54" i="1"/>
  <c r="Q50" i="1"/>
  <c r="Q46" i="1"/>
  <c r="Q40" i="1"/>
  <c r="Q43" i="1"/>
  <c r="Q51" i="1"/>
  <c r="Q55" i="1"/>
  <c r="S42" i="1" l="1" a="1"/>
  <c r="S42" i="1" s="1"/>
  <c r="S43" i="1" s="1"/>
  <c r="A61" i="1" s="1"/>
  <c r="S51" i="1" l="1" a="1"/>
  <c r="S51" i="1" s="1"/>
  <c r="A69" i="1" s="1" a="1"/>
  <c r="A69" i="1" s="1"/>
  <c r="S44" i="1" a="1"/>
  <c r="S44" i="1" s="1"/>
  <c r="A62" i="1" s="1" a="1"/>
  <c r="A62" i="1" s="1"/>
  <c r="S50" i="1"/>
  <c r="A68" i="1" s="1" a="1"/>
  <c r="A68" i="1" s="1"/>
  <c r="S48" i="1"/>
  <c r="A66" i="1" s="1" a="1"/>
  <c r="A66" i="1" s="1"/>
  <c r="S46" i="1"/>
  <c r="A64" i="1" s="1" a="1"/>
  <c r="A64" i="1" s="1"/>
  <c r="S52" i="1"/>
  <c r="A70" i="1" s="1" a="1"/>
  <c r="A70" i="1" s="1"/>
  <c r="S49" i="1"/>
  <c r="A67" i="1" s="1" a="1"/>
  <c r="A67" i="1" s="1"/>
  <c r="S45" i="1"/>
  <c r="A63" i="1" s="1" a="1"/>
  <c r="A63" i="1" s="1"/>
  <c r="S47" i="1"/>
  <c r="A65" i="1" s="1" a="1"/>
  <c r="A6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<sst xmlns="http://schemas.openxmlformats.org/spreadsheetml/2006/main" count="109" uniqueCount="78">
  <si>
    <t>KARTEZYEN KOORDİNATLAR [GRS80]</t>
  </si>
  <si>
    <t>Nokta No</t>
  </si>
  <si>
    <t>Nokta Adı</t>
  </si>
  <si>
    <t>X(m)</t>
  </si>
  <si>
    <t>Y(m)</t>
  </si>
  <si>
    <t>Z(m)</t>
  </si>
  <si>
    <t>G2331081</t>
  </si>
  <si>
    <t>G2331097</t>
  </si>
  <si>
    <t>G2331253</t>
  </si>
  <si>
    <t>G23A0003</t>
  </si>
  <si>
    <t>G23S0004</t>
  </si>
  <si>
    <t>G23S0007</t>
  </si>
  <si>
    <t>G23S0030</t>
  </si>
  <si>
    <t>G23S0031</t>
  </si>
  <si>
    <t>G23S0032</t>
  </si>
  <si>
    <t>G23S0053</t>
  </si>
  <si>
    <t>G23S0054</t>
  </si>
  <si>
    <t>G24S0020</t>
  </si>
  <si>
    <t>G24S0021</t>
  </si>
  <si>
    <t>G24S0022</t>
  </si>
  <si>
    <t>G24S0039</t>
  </si>
  <si>
    <t>IZGZ</t>
  </si>
  <si>
    <t>h [m]</t>
  </si>
  <si>
    <t>H [m]</t>
  </si>
  <si>
    <t>a_0</t>
  </si>
  <si>
    <t>a_3 x^2</t>
  </si>
  <si>
    <t>a_4 xy</t>
  </si>
  <si>
    <t>a_5 y^2</t>
  </si>
  <si>
    <t>a_6 x^3</t>
  </si>
  <si>
    <t>a_8 xy^2</t>
  </si>
  <si>
    <t>a_9 y^3</t>
  </si>
  <si>
    <t>n= 3 için ;</t>
  </si>
  <si>
    <t xml:space="preserve">A_T * L </t>
  </si>
  <si>
    <t>X = Q_xx * A_T * L</t>
  </si>
  <si>
    <t>Q_xx = (A_T * A)^-1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</si>
  <si>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</si>
  <si>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</si>
  <si>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</si>
  <si>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</si>
  <si>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</si>
  <si>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</si>
  <si>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</si>
  <si>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</si>
  <si>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</si>
  <si>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 xml:space="preserve">V = A * X - L </t>
  </si>
  <si>
    <t>n</t>
  </si>
  <si>
    <t>m_x=m_ai = m_o * (Q xx)^1/2</t>
  </si>
  <si>
    <t>N = h - H (m)</t>
  </si>
  <si>
    <t>L (m)</t>
  </si>
  <si>
    <t>m_0 = (V_T * V / n-u)^1/2 (m)</t>
  </si>
  <si>
    <t>u</t>
  </si>
  <si>
    <t>x_0</t>
  </si>
  <si>
    <t>y_0</t>
  </si>
  <si>
    <t>T = |X | / m_x</t>
  </si>
  <si>
    <t>f = n-u</t>
  </si>
  <si>
    <t xml:space="preserve">sınır değer </t>
  </si>
  <si>
    <t>ANLAMSIZ</t>
  </si>
  <si>
    <t>ANLAMLI</t>
  </si>
  <si>
    <t>Karar</t>
  </si>
  <si>
    <t>NN</t>
  </si>
  <si>
    <t>a_7 x^2 y</t>
  </si>
  <si>
    <t xml:space="preserve">a_1 y </t>
  </si>
  <si>
    <t>a_2 x</t>
  </si>
  <si>
    <t>N( x, y) = a_0 + a_1 y + a_2 x + a_3 x^2 + a_4 xy + a_5 y^2 + a_6 x^3 + a_4 x^2 y + a_8 xy^2 + a_9 y^3</t>
  </si>
  <si>
    <t>QXX</t>
  </si>
  <si>
    <t>AT*L</t>
  </si>
  <si>
    <t>X</t>
  </si>
  <si>
    <t>V =AX-L</t>
  </si>
  <si>
    <t>m_0</t>
  </si>
  <si>
    <t>f</t>
  </si>
  <si>
    <t xml:space="preserve">m_x </t>
  </si>
  <si>
    <t xml:space="preserve">düzeltilmiş </t>
  </si>
  <si>
    <t>N  = (a_0)</t>
  </si>
  <si>
    <t>h (m)</t>
  </si>
  <si>
    <t>H(m)</t>
  </si>
  <si>
    <t xml:space="preserve">nokta adı </t>
  </si>
  <si>
    <t>Düzeltilmiş Ortometrik Yükseklik  (h-N)</t>
  </si>
  <si>
    <t>FARK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</si>
</sst>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0E+00"/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0" fillId="15" borderId="1" xfId="0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12" borderId="1" xfId="0" applyNumberForma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0" borderId="0" xfId="0" applyAlignment="1"/>
    <xf numFmtId="0" fontId="0" fillId="20" borderId="1" xfId="0" applyFill="1" applyBorder="1" applyAlignment="1"/>
    <xf numFmtId="0" fontId="0" fillId="20" borderId="1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6" borderId="5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"/>
  <sheetViews>
    <sheetView tabSelected="1" topLeftCell="A52" zoomScale="80" zoomScaleNormal="80" workbookViewId="0">
      <selection activeCell="E77" sqref="E77"/>
    </sheetView>
  </sheetViews>
  <sheetFormatPr defaultRowHeight="15" x14ac:dyDescent="0.25"/>
  <cols>
    <col min="1" max="1" width="19.140625" style="3" bestFit="1" customWidth="1"/>
    <col min="2" max="4" width="13.7109375" style="3" bestFit="1" customWidth="1"/>
    <col min="5" max="5" width="40" style="3" bestFit="1" customWidth="1"/>
    <col min="6" max="6" width="15.5703125" style="3" bestFit="1" customWidth="1"/>
    <col min="7" max="7" width="15.85546875" style="3" bestFit="1" customWidth="1"/>
    <col min="8" max="8" width="21" style="3" bestFit="1" customWidth="1"/>
    <col min="9" max="10" width="20" style="3" bestFit="1" customWidth="1"/>
    <col min="11" max="11" width="21" style="3" bestFit="1" customWidth="1"/>
    <col min="12" max="12" width="14.85546875" style="3" bestFit="1" customWidth="1"/>
    <col min="13" max="13" width="13.85546875" style="3" bestFit="1" customWidth="1"/>
    <col min="14" max="14" width="17.42578125" style="3" bestFit="1" customWidth="1"/>
    <col min="15" max="15" width="9.42578125" style="3" bestFit="1" customWidth="1"/>
    <col min="16" max="16" width="4.5703125" style="3" bestFit="1" customWidth="1"/>
    <col min="17" max="17" width="13.7109375" style="3" bestFit="1" customWidth="1"/>
    <col min="18" max="18" width="29.28515625" style="3" bestFit="1" customWidth="1"/>
    <col min="19" max="19" width="13" style="3" bestFit="1" customWidth="1"/>
    <col min="20" max="20" width="27.28515625" style="3" bestFit="1" customWidth="1"/>
    <col min="21" max="16384" width="9.140625" style="3"/>
  </cols>
  <sheetData>
    <row r="1" spans="1:14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4" x14ac:dyDescent="0.25">
      <c r="A2" s="1" t="s">
        <v>1</v>
      </c>
      <c r="B2" s="1" t="s">
        <v>2</v>
      </c>
      <c r="C2" s="8" t="s">
        <v>3</v>
      </c>
      <c r="D2" s="8" t="s">
        <v>4</v>
      </c>
      <c r="E2" s="9" t="s">
        <v>5</v>
      </c>
      <c r="F2" s="1" t="s">
        <v>22</v>
      </c>
      <c r="G2" s="1" t="s">
        <v>23</v>
      </c>
      <c r="H2" s="1" t="s">
        <v>47</v>
      </c>
      <c r="I2" s="9" t="s">
        <v>3</v>
      </c>
      <c r="J2" s="9" t="s">
        <v>4</v>
      </c>
      <c r="K2" s="17" t="s">
        <v>51</v>
      </c>
      <c r="L2" s="23">
        <f>AVERAGE(I3:I18)</f>
        <v>4188245.2474593753</v>
      </c>
    </row>
    <row r="3" spans="1:14" x14ac:dyDescent="0.25">
      <c r="A3" s="1">
        <v>41</v>
      </c>
      <c r="B3" s="1" t="s">
        <v>6</v>
      </c>
      <c r="C3" s="20">
        <f>$L$2-I3</f>
        <v>-4811.3693706248887</v>
      </c>
      <c r="D3" s="20">
        <f>$L$3-J3</f>
        <v>1588.1050956253894</v>
      </c>
      <c r="E3" s="19">
        <v>4145751.0545100002</v>
      </c>
      <c r="F3" s="2">
        <v>405.49709999999999</v>
      </c>
      <c r="G3" s="2">
        <v>369.45600000000002</v>
      </c>
      <c r="H3" s="2">
        <f>F3-G3</f>
        <v>36.041099999999972</v>
      </c>
      <c r="I3" s="19">
        <v>4193056.6168300002</v>
      </c>
      <c r="J3" s="19">
        <v>2408527.0937199998</v>
      </c>
      <c r="K3" s="17" t="s">
        <v>52</v>
      </c>
      <c r="L3" s="23">
        <f>AVERAGE(J3:J18)</f>
        <v>2410115.1988156252</v>
      </c>
      <c r="M3" s="22"/>
      <c r="N3" s="22"/>
    </row>
    <row r="4" spans="1:14" x14ac:dyDescent="0.25">
      <c r="A4" s="1">
        <v>43</v>
      </c>
      <c r="B4" s="1" t="s">
        <v>7</v>
      </c>
      <c r="C4" s="20">
        <f t="shared" ref="C4:C18" si="0">$L$2-I4</f>
        <v>-11319.238130624406</v>
      </c>
      <c r="D4" s="20">
        <f t="shared" ref="D4:D18" si="1">$L$3-J4</f>
        <v>5554.4899756251834</v>
      </c>
      <c r="E4" s="19">
        <v>4140927.9263900002</v>
      </c>
      <c r="F4" s="2">
        <v>36.842500000000001</v>
      </c>
      <c r="G4" s="2">
        <v>0.64690000000000003</v>
      </c>
      <c r="H4" s="2">
        <f t="shared" ref="H4:H18" si="2">F4-G4</f>
        <v>36.195599999999999</v>
      </c>
      <c r="I4" s="19">
        <v>4199564.4855899997</v>
      </c>
      <c r="J4" s="19">
        <v>2404560.70884</v>
      </c>
    </row>
    <row r="5" spans="1:14" x14ac:dyDescent="0.25">
      <c r="A5" s="1">
        <v>44</v>
      </c>
      <c r="B5" s="1" t="s">
        <v>8</v>
      </c>
      <c r="C5" s="20">
        <f t="shared" si="0"/>
        <v>11137.148779375479</v>
      </c>
      <c r="D5" s="20">
        <f t="shared" si="1"/>
        <v>869.55026562511921</v>
      </c>
      <c r="E5" s="19">
        <v>4161118.0300799999</v>
      </c>
      <c r="F5" s="2">
        <v>286.66030000000001</v>
      </c>
      <c r="G5" s="2">
        <v>251.01830000000001</v>
      </c>
      <c r="H5" s="2">
        <f t="shared" si="2"/>
        <v>35.641999999999996</v>
      </c>
      <c r="I5" s="19">
        <v>4177108.0986799998</v>
      </c>
      <c r="J5" s="19">
        <v>2409245.64855</v>
      </c>
    </row>
    <row r="6" spans="1:14" x14ac:dyDescent="0.25">
      <c r="A6" s="1">
        <v>46</v>
      </c>
      <c r="B6" s="1" t="s">
        <v>9</v>
      </c>
      <c r="C6" s="20">
        <f t="shared" si="0"/>
        <v>-5861.8878006245941</v>
      </c>
      <c r="D6" s="20">
        <f t="shared" si="1"/>
        <v>-5647.2727143750526</v>
      </c>
      <c r="E6" s="19">
        <v>4139949.7462300002</v>
      </c>
      <c r="F6" s="2">
        <v>39.514099999999999</v>
      </c>
      <c r="G6" s="2">
        <v>3.5407000000000002</v>
      </c>
      <c r="H6" s="2">
        <f t="shared" si="2"/>
        <v>35.973399999999998</v>
      </c>
      <c r="I6" s="19">
        <v>4194107.1352599999</v>
      </c>
      <c r="J6" s="19">
        <v>2415762.4715300002</v>
      </c>
    </row>
    <row r="7" spans="1:14" x14ac:dyDescent="0.25">
      <c r="A7" s="1">
        <v>51</v>
      </c>
      <c r="B7" s="1" t="s">
        <v>10</v>
      </c>
      <c r="C7" s="20">
        <f t="shared" si="0"/>
        <v>8166.3598693753593</v>
      </c>
      <c r="D7" s="20">
        <f t="shared" si="1"/>
        <v>6286.5430356250145</v>
      </c>
      <c r="E7" s="19">
        <v>4161441.6451699999</v>
      </c>
      <c r="F7" s="2">
        <v>401.452</v>
      </c>
      <c r="G7" s="2">
        <v>365.59210000000002</v>
      </c>
      <c r="H7" s="2">
        <f t="shared" si="2"/>
        <v>35.859899999999982</v>
      </c>
      <c r="I7" s="19">
        <v>4180078.8875899999</v>
      </c>
      <c r="J7" s="19">
        <v>2403828.6557800001</v>
      </c>
    </row>
    <row r="8" spans="1:14" x14ac:dyDescent="0.25">
      <c r="A8" s="1">
        <v>52</v>
      </c>
      <c r="B8" s="1" t="s">
        <v>11</v>
      </c>
      <c r="C8" s="20">
        <f t="shared" si="0"/>
        <v>1131.8668093751185</v>
      </c>
      <c r="D8" s="20">
        <f t="shared" si="1"/>
        <v>-4899.47914437484</v>
      </c>
      <c r="E8" s="19">
        <v>4147809.5332399998</v>
      </c>
      <c r="F8" s="2">
        <v>301.77890000000002</v>
      </c>
      <c r="G8" s="2">
        <v>265.8313</v>
      </c>
      <c r="H8" s="2">
        <f t="shared" si="2"/>
        <v>35.947600000000023</v>
      </c>
      <c r="I8" s="19">
        <v>4187113.3806500002</v>
      </c>
      <c r="J8" s="19">
        <v>2415014.67796</v>
      </c>
    </row>
    <row r="9" spans="1:14" x14ac:dyDescent="0.25">
      <c r="A9" s="1">
        <v>63</v>
      </c>
      <c r="B9" s="1" t="s">
        <v>12</v>
      </c>
      <c r="C9" s="20">
        <f t="shared" si="0"/>
        <v>-958.51213062461466</v>
      </c>
      <c r="D9" s="20">
        <f t="shared" si="1"/>
        <v>11624.04762562504</v>
      </c>
      <c r="E9" s="19">
        <v>4155238.4512299998</v>
      </c>
      <c r="F9" s="2">
        <v>307.40989999999999</v>
      </c>
      <c r="G9" s="2">
        <v>271.3494</v>
      </c>
      <c r="H9" s="2">
        <f t="shared" si="2"/>
        <v>36.06049999999999</v>
      </c>
      <c r="I9" s="19">
        <v>4189203.7595899999</v>
      </c>
      <c r="J9" s="19">
        <v>2398491.1511900001</v>
      </c>
    </row>
    <row r="10" spans="1:14" x14ac:dyDescent="0.25">
      <c r="A10" s="1">
        <v>64</v>
      </c>
      <c r="B10" s="1" t="s">
        <v>13</v>
      </c>
      <c r="C10" s="20">
        <f t="shared" si="0"/>
        <v>2980.6627593752928</v>
      </c>
      <c r="D10" s="20">
        <f t="shared" si="1"/>
        <v>8418.3073756252415</v>
      </c>
      <c r="E10" s="19">
        <v>4157409.2872199998</v>
      </c>
      <c r="F10" s="2">
        <v>351.7663</v>
      </c>
      <c r="G10" s="2">
        <v>315.7638</v>
      </c>
      <c r="H10" s="2">
        <f t="shared" si="2"/>
        <v>36.002499999999998</v>
      </c>
      <c r="I10" s="19">
        <v>4185264.5847</v>
      </c>
      <c r="J10" s="19">
        <v>2401696.8914399999</v>
      </c>
    </row>
    <row r="11" spans="1:14" x14ac:dyDescent="0.25">
      <c r="A11" s="1">
        <v>65</v>
      </c>
      <c r="B11" s="1" t="s">
        <v>14</v>
      </c>
      <c r="C11" s="20">
        <f t="shared" si="0"/>
        <v>-1991.9356406247243</v>
      </c>
      <c r="D11" s="20">
        <f t="shared" si="1"/>
        <v>-151.66943437466398</v>
      </c>
      <c r="E11" s="19">
        <v>4147766.7815899998</v>
      </c>
      <c r="F11" s="2">
        <v>528.9837</v>
      </c>
      <c r="G11" s="2">
        <v>492.92660000000001</v>
      </c>
      <c r="H11" s="2">
        <f t="shared" si="2"/>
        <v>36.057099999999991</v>
      </c>
      <c r="I11" s="19">
        <v>4190237.1831</v>
      </c>
      <c r="J11" s="19">
        <v>2410266.8682499998</v>
      </c>
    </row>
    <row r="12" spans="1:14" x14ac:dyDescent="0.25">
      <c r="A12" s="1">
        <v>75</v>
      </c>
      <c r="B12" s="1" t="s">
        <v>15</v>
      </c>
      <c r="C12" s="20">
        <f t="shared" si="0"/>
        <v>-5431.0733406245708</v>
      </c>
      <c r="D12" s="20">
        <f t="shared" si="1"/>
        <v>9358.8579056253657</v>
      </c>
      <c r="E12" s="19">
        <v>4149637.5741300001</v>
      </c>
      <c r="F12" s="2">
        <v>427.64890000000003</v>
      </c>
      <c r="G12" s="2">
        <v>391.44130000000001</v>
      </c>
      <c r="H12" s="2">
        <f t="shared" si="2"/>
        <v>36.207600000000014</v>
      </c>
      <c r="I12" s="19">
        <v>4193676.3207999999</v>
      </c>
      <c r="J12" s="19">
        <v>2400756.3409099998</v>
      </c>
    </row>
    <row r="13" spans="1:14" x14ac:dyDescent="0.25">
      <c r="A13" s="1">
        <v>76</v>
      </c>
      <c r="B13" s="1" t="s">
        <v>16</v>
      </c>
      <c r="C13" s="20">
        <f t="shared" si="0"/>
        <v>-8823.7143606245518</v>
      </c>
      <c r="D13" s="20">
        <f t="shared" si="1"/>
        <v>6761.8775556250475</v>
      </c>
      <c r="E13" s="19">
        <v>4144431.19368</v>
      </c>
      <c r="F13" s="2">
        <v>229.59950000000001</v>
      </c>
      <c r="G13" s="2">
        <v>193.3845</v>
      </c>
      <c r="H13" s="2">
        <f t="shared" si="2"/>
        <v>36.215000000000003</v>
      </c>
      <c r="I13" s="19">
        <v>4197068.9618199999</v>
      </c>
      <c r="J13" s="19">
        <v>2403353.3212600001</v>
      </c>
    </row>
    <row r="14" spans="1:14" x14ac:dyDescent="0.25">
      <c r="A14" s="1">
        <v>86</v>
      </c>
      <c r="B14" s="1" t="s">
        <v>17</v>
      </c>
      <c r="C14" s="20">
        <f t="shared" si="0"/>
        <v>1433.0983993750997</v>
      </c>
      <c r="D14" s="20">
        <f t="shared" si="1"/>
        <v>-11087.171404374763</v>
      </c>
      <c r="E14" s="19">
        <v>4144281.60696</v>
      </c>
      <c r="F14" s="2">
        <v>141.42619999999999</v>
      </c>
      <c r="G14" s="2">
        <v>105.50620000000001</v>
      </c>
      <c r="H14" s="2">
        <f t="shared" si="2"/>
        <v>35.919999999999987</v>
      </c>
      <c r="I14" s="19">
        <v>4186812.1490600002</v>
      </c>
      <c r="J14" s="19">
        <v>2421202.3702199999</v>
      </c>
    </row>
    <row r="15" spans="1:14" x14ac:dyDescent="0.25">
      <c r="A15" s="1">
        <v>87</v>
      </c>
      <c r="B15" s="1" t="s">
        <v>18</v>
      </c>
      <c r="C15" s="20">
        <f t="shared" si="0"/>
        <v>5303.7502093752846</v>
      </c>
      <c r="D15" s="20">
        <f t="shared" si="1"/>
        <v>-7055.2257443750277</v>
      </c>
      <c r="E15" s="19">
        <v>4151007.0616100002</v>
      </c>
      <c r="F15" s="2">
        <v>474.97190000000001</v>
      </c>
      <c r="G15" s="2">
        <v>439.13869999999997</v>
      </c>
      <c r="H15" s="2">
        <f t="shared" si="2"/>
        <v>35.833200000000033</v>
      </c>
      <c r="I15" s="19">
        <v>4182941.49725</v>
      </c>
      <c r="J15" s="19">
        <v>2417170.4245600002</v>
      </c>
    </row>
    <row r="16" spans="1:14" x14ac:dyDescent="0.25">
      <c r="A16" s="1">
        <v>88</v>
      </c>
      <c r="B16" s="1" t="s">
        <v>19</v>
      </c>
      <c r="C16" s="20">
        <f t="shared" si="0"/>
        <v>11116.859949375503</v>
      </c>
      <c r="D16" s="20">
        <f t="shared" si="1"/>
        <v>-5932.226104374975</v>
      </c>
      <c r="E16" s="19">
        <v>4157204.3396299998</v>
      </c>
      <c r="F16" s="2">
        <v>303.51530000000002</v>
      </c>
      <c r="G16" s="2">
        <v>267.74329999999998</v>
      </c>
      <c r="H16" s="2">
        <f t="shared" si="2"/>
        <v>35.772000000000048</v>
      </c>
      <c r="I16" s="19">
        <v>4177128.3875099998</v>
      </c>
      <c r="J16" s="19">
        <v>2416047.4249200001</v>
      </c>
    </row>
    <row r="17" spans="1:13" x14ac:dyDescent="0.25">
      <c r="A17" s="1">
        <v>92</v>
      </c>
      <c r="B17" s="1" t="s">
        <v>20</v>
      </c>
      <c r="C17" s="20">
        <f t="shared" si="0"/>
        <v>4171.4819193752483</v>
      </c>
      <c r="D17" s="20">
        <f t="shared" si="1"/>
        <v>-15041.28248437494</v>
      </c>
      <c r="E17" s="19">
        <v>4144742.5372700002</v>
      </c>
      <c r="F17" s="2">
        <v>148.2174</v>
      </c>
      <c r="G17" s="2">
        <v>112.3935</v>
      </c>
      <c r="H17" s="2">
        <f t="shared" si="2"/>
        <v>35.823899999999995</v>
      </c>
      <c r="I17" s="19">
        <v>4184073.7655400001</v>
      </c>
      <c r="J17" s="19">
        <v>2425156.4813000001</v>
      </c>
    </row>
    <row r="18" spans="1:13" x14ac:dyDescent="0.25">
      <c r="A18" s="1">
        <v>105</v>
      </c>
      <c r="B18" s="1" t="s">
        <v>21</v>
      </c>
      <c r="C18" s="20">
        <f t="shared" si="0"/>
        <v>-6243.4979206249118</v>
      </c>
      <c r="D18" s="20">
        <f t="shared" si="1"/>
        <v>-647.45180437481031</v>
      </c>
      <c r="E18" s="19">
        <v>4142474.6475999998</v>
      </c>
      <c r="F18" s="2">
        <v>49.115499999999997</v>
      </c>
      <c r="G18" s="2">
        <v>13.0769</v>
      </c>
      <c r="H18" s="2">
        <f t="shared" si="2"/>
        <v>36.038599999999995</v>
      </c>
      <c r="I18" s="19">
        <v>4194488.7453800002</v>
      </c>
      <c r="J18" s="19">
        <v>2410762.65062</v>
      </c>
    </row>
    <row r="20" spans="1:13" x14ac:dyDescent="0.25">
      <c r="A20" s="29" t="s">
        <v>31</v>
      </c>
      <c r="B20" s="29"/>
    </row>
    <row r="21" spans="1:13" x14ac:dyDescent="0.25">
      <c r="A21" s="29" t="s">
        <v>63</v>
      </c>
      <c r="B21" s="29"/>
      <c r="C21" s="29"/>
      <c r="D21" s="29"/>
      <c r="E21" s="29"/>
      <c r="F21" s="29"/>
      <c r="G21" s="29"/>
      <c r="H21" s="29"/>
      <c r="I21" s="12"/>
    </row>
    <row r="23" spans="1:13" x14ac:dyDescent="0.25">
      <c r="A23" s="4" t="s">
        <v>1</v>
      </c>
      <c r="B23" s="4" t="s">
        <v>24</v>
      </c>
      <c r="C23" s="21" t="s">
        <v>61</v>
      </c>
      <c r="D23" s="4" t="s">
        <v>62</v>
      </c>
      <c r="E23" s="4" t="s">
        <v>25</v>
      </c>
      <c r="F23" s="4" t="s">
        <v>26</v>
      </c>
      <c r="G23" s="4" t="s">
        <v>27</v>
      </c>
      <c r="H23" s="4" t="s">
        <v>28</v>
      </c>
      <c r="I23" s="4" t="s">
        <v>60</v>
      </c>
      <c r="J23" s="4" t="s">
        <v>29</v>
      </c>
      <c r="K23" s="4" t="s">
        <v>30</v>
      </c>
      <c r="M23" s="7" t="s">
        <v>48</v>
      </c>
    </row>
    <row r="24" spans="1:13" x14ac:dyDescent="0.25">
      <c r="A24" s="4">
        <v>41</v>
      </c>
      <c r="B24" s="16">
        <v>1</v>
      </c>
      <c r="C24" s="16">
        <f>D3</f>
        <v>1588.1050956253894</v>
      </c>
      <c r="D24" s="16">
        <f>C3</f>
        <v>-4811.3693706248887</v>
      </c>
      <c r="E24" s="16">
        <f>C3*C3</f>
        <v>23149275.220587339</v>
      </c>
      <c r="F24" s="16">
        <f>C3*D3</f>
        <v>-7640960.2144253086</v>
      </c>
      <c r="G24" s="16">
        <f>D3*D3</f>
        <v>2522077.794751327</v>
      </c>
      <c r="H24" s="16">
        <f>C3*C3*C3</f>
        <v>-111379713748.49963</v>
      </c>
      <c r="I24" s="16">
        <f>C3*C3*D3</f>
        <v>36763481937.849312</v>
      </c>
      <c r="J24" s="16">
        <f>C3*D3*D3</f>
        <v>-12134647851.999701</v>
      </c>
      <c r="K24" s="16">
        <f>D3*D3*D3</f>
        <v>4005324597.4082274</v>
      </c>
      <c r="M24" s="6">
        <v>36.041099999999972</v>
      </c>
    </row>
    <row r="25" spans="1:13" x14ac:dyDescent="0.25">
      <c r="A25" s="4">
        <v>43</v>
      </c>
      <c r="B25" s="16">
        <v>1</v>
      </c>
      <c r="C25" s="16">
        <f t="shared" ref="C25:C39" si="3">D4</f>
        <v>5554.4899756251834</v>
      </c>
      <c r="D25" s="16">
        <f t="shared" ref="D25:D39" si="4">C4</f>
        <v>-11319.238130624406</v>
      </c>
      <c r="E25" s="16">
        <f t="shared" ref="E25:E39" si="5">C4*C4</f>
        <v>128125151.8577815</v>
      </c>
      <c r="F25" s="16">
        <f t="shared" ref="F25:F39" si="6">C4*D4</f>
        <v>-62872594.728267603</v>
      </c>
      <c r="G25" s="16">
        <f t="shared" ref="G25:G39" si="7">D4*D4</f>
        <v>30852358.889320649</v>
      </c>
      <c r="H25" s="16">
        <f t="shared" ref="H25:H39" si="8">C4*C4*C4</f>
        <v>-1450279104400.6428</v>
      </c>
      <c r="I25" s="16">
        <f t="shared" ref="I25:I39" si="9">C4*C4*D4</f>
        <v>711669871619.50171</v>
      </c>
      <c r="J25" s="16">
        <f t="shared" ref="J25:J39" si="10">C4*D4*D4</f>
        <v>-349225197159.70715</v>
      </c>
      <c r="K25" s="16">
        <f t="shared" ref="K25:K39" si="11">D4*D4*D4</f>
        <v>171369118175.12207</v>
      </c>
      <c r="M25" s="6">
        <v>36.195599999999999</v>
      </c>
    </row>
    <row r="26" spans="1:13" x14ac:dyDescent="0.25">
      <c r="A26" s="4">
        <v>44</v>
      </c>
      <c r="B26" s="16">
        <v>1</v>
      </c>
      <c r="C26" s="16">
        <f t="shared" si="3"/>
        <v>869.55026562511921</v>
      </c>
      <c r="D26" s="16">
        <f t="shared" si="4"/>
        <v>11137.148779375479</v>
      </c>
      <c r="E26" s="16">
        <f t="shared" si="5"/>
        <v>124036082.93394472</v>
      </c>
      <c r="F26" s="16">
        <f t="shared" si="6"/>
        <v>9684310.679412419</v>
      </c>
      <c r="G26" s="16">
        <f t="shared" si="7"/>
        <v>756117.6644487154</v>
      </c>
      <c r="H26" s="16">
        <f t="shared" si="8"/>
        <v>1381408309646.2981</v>
      </c>
      <c r="I26" s="16">
        <f t="shared" si="9"/>
        <v>107855608862.31094</v>
      </c>
      <c r="J26" s="16">
        <f t="shared" si="10"/>
        <v>8420994923.6792479</v>
      </c>
      <c r="K26" s="16">
        <f t="shared" si="11"/>
        <v>657482315.96522522</v>
      </c>
      <c r="M26" s="6">
        <v>35.641999999999996</v>
      </c>
    </row>
    <row r="27" spans="1:13" x14ac:dyDescent="0.25">
      <c r="A27" s="4">
        <v>46</v>
      </c>
      <c r="B27" s="16">
        <v>1</v>
      </c>
      <c r="C27" s="16">
        <f t="shared" si="3"/>
        <v>-5647.2727143750526</v>
      </c>
      <c r="D27" s="16">
        <f t="shared" si="4"/>
        <v>-5861.8878006245941</v>
      </c>
      <c r="E27" s="16">
        <f t="shared" si="5"/>
        <v>34361728.587111443</v>
      </c>
      <c r="F27" s="16">
        <f t="shared" si="6"/>
        <v>33103679.031195257</v>
      </c>
      <c r="G27" s="16">
        <f t="shared" si="7"/>
        <v>31891689.110524975</v>
      </c>
      <c r="H27" s="16">
        <f t="shared" si="8"/>
        <v>-201424597613.16193</v>
      </c>
      <c r="I27" s="16">
        <f t="shared" si="9"/>
        <v>-194050052268.75568</v>
      </c>
      <c r="J27" s="16">
        <f t="shared" si="10"/>
        <v>-186945503338.29855</v>
      </c>
      <c r="K27" s="16">
        <f t="shared" si="11"/>
        <v>-180101065729.19968</v>
      </c>
      <c r="M27" s="6">
        <v>35.973399999999998</v>
      </c>
    </row>
    <row r="28" spans="1:13" x14ac:dyDescent="0.25">
      <c r="A28" s="4">
        <v>51</v>
      </c>
      <c r="B28" s="16">
        <v>1</v>
      </c>
      <c r="C28" s="16">
        <f t="shared" si="3"/>
        <v>6286.5430356250145</v>
      </c>
      <c r="D28" s="16">
        <f t="shared" si="4"/>
        <v>8166.3598693753593</v>
      </c>
      <c r="E28" s="16">
        <f t="shared" si="5"/>
        <v>66689433.516144335</v>
      </c>
      <c r="F28" s="16">
        <f t="shared" si="6"/>
        <v>51338172.763229266</v>
      </c>
      <c r="G28" s="16">
        <f t="shared" si="7"/>
        <v>39520623.338765375</v>
      </c>
      <c r="H28" s="16">
        <f t="shared" si="8"/>
        <v>544609913577.61719</v>
      </c>
      <c r="I28" s="16">
        <f t="shared" si="9"/>
        <v>419245993820.69458</v>
      </c>
      <c r="J28" s="16">
        <f t="shared" si="10"/>
        <v>322739632446.39276</v>
      </c>
      <c r="K28" s="16">
        <f t="shared" si="11"/>
        <v>248448099413.87488</v>
      </c>
      <c r="M28" s="6">
        <v>35.859899999999982</v>
      </c>
    </row>
    <row r="29" spans="1:13" x14ac:dyDescent="0.25">
      <c r="A29" s="4">
        <v>52</v>
      </c>
      <c r="B29" s="16">
        <v>1</v>
      </c>
      <c r="C29" s="16">
        <f t="shared" si="3"/>
        <v>-4899.47914437484</v>
      </c>
      <c r="D29" s="16">
        <f t="shared" si="4"/>
        <v>1131.8668093751185</v>
      </c>
      <c r="E29" s="16">
        <f t="shared" si="5"/>
        <v>1281122.4741650107</v>
      </c>
      <c r="F29" s="16">
        <f t="shared" si="6"/>
        <v>-5545557.8267434854</v>
      </c>
      <c r="G29" s="16">
        <f t="shared" si="7"/>
        <v>24004895.886164013</v>
      </c>
      <c r="H29" s="16">
        <f t="shared" si="8"/>
        <v>1450060007.2519083</v>
      </c>
      <c r="I29" s="16">
        <f t="shared" si="9"/>
        <v>-6276832843.5613651</v>
      </c>
      <c r="J29" s="16">
        <f t="shared" si="10"/>
        <v>27170344916.054367</v>
      </c>
      <c r="K29" s="16">
        <f t="shared" si="11"/>
        <v>-117611486757.14998</v>
      </c>
      <c r="M29" s="6">
        <v>35.947600000000023</v>
      </c>
    </row>
    <row r="30" spans="1:13" x14ac:dyDescent="0.25">
      <c r="A30" s="4">
        <v>63</v>
      </c>
      <c r="B30" s="16">
        <v>1</v>
      </c>
      <c r="C30" s="16">
        <f t="shared" si="3"/>
        <v>11624.04762562504</v>
      </c>
      <c r="D30" s="16">
        <f t="shared" si="4"/>
        <v>-958.51213062461466</v>
      </c>
      <c r="E30" s="16">
        <f t="shared" si="5"/>
        <v>918745.50455453841</v>
      </c>
      <c r="F30" s="16">
        <f t="shared" si="6"/>
        <v>-11141790.656119851</v>
      </c>
      <c r="G30" s="16">
        <f t="shared" si="7"/>
        <v>135118483.20279914</v>
      </c>
      <c r="H30" s="16">
        <f t="shared" si="8"/>
        <v>-880628711.07235718</v>
      </c>
      <c r="I30" s="16">
        <f t="shared" si="9"/>
        <v>10679541500.770863</v>
      </c>
      <c r="J30" s="16">
        <f t="shared" si="10"/>
        <v>-129512705221.48122</v>
      </c>
      <c r="K30" s="16">
        <f t="shared" si="11"/>
        <v>1570623683851.5542</v>
      </c>
      <c r="M30" s="6">
        <v>36.06049999999999</v>
      </c>
    </row>
    <row r="31" spans="1:13" x14ac:dyDescent="0.25">
      <c r="A31" s="4">
        <v>64</v>
      </c>
      <c r="B31" s="16">
        <v>1</v>
      </c>
      <c r="C31" s="16">
        <f t="shared" si="3"/>
        <v>8418.3073756252415</v>
      </c>
      <c r="D31" s="16">
        <f t="shared" si="4"/>
        <v>2980.6627593752928</v>
      </c>
      <c r="E31" s="16">
        <f t="shared" si="5"/>
        <v>8884350.4851267338</v>
      </c>
      <c r="F31" s="16">
        <f t="shared" si="6"/>
        <v>25092135.291500513</v>
      </c>
      <c r="G31" s="16">
        <f t="shared" si="7"/>
        <v>70867899.070506334</v>
      </c>
      <c r="H31" s="16">
        <f t="shared" si="8"/>
        <v>26481252632.25507</v>
      </c>
      <c r="I31" s="16">
        <f t="shared" si="9"/>
        <v>74791193216.582077</v>
      </c>
      <c r="J31" s="16">
        <f t="shared" si="10"/>
        <v>211233307594.62518</v>
      </c>
      <c r="K31" s="16">
        <f t="shared" si="11"/>
        <v>596587757440.30872</v>
      </c>
      <c r="M31" s="6">
        <v>36.002499999999998</v>
      </c>
    </row>
    <row r="32" spans="1:13" x14ac:dyDescent="0.25">
      <c r="A32" s="4">
        <v>65</v>
      </c>
      <c r="B32" s="16">
        <v>1</v>
      </c>
      <c r="C32" s="16">
        <f t="shared" si="3"/>
        <v>-151.66943437466398</v>
      </c>
      <c r="D32" s="16">
        <f t="shared" si="4"/>
        <v>-1991.9356406247243</v>
      </c>
      <c r="E32" s="16">
        <f t="shared" si="5"/>
        <v>3967807.5963910311</v>
      </c>
      <c r="F32" s="16">
        <f t="shared" si="6"/>
        <v>302115.7519242859</v>
      </c>
      <c r="G32" s="16">
        <f t="shared" si="7"/>
        <v>23003.617323530503</v>
      </c>
      <c r="H32" s="16">
        <f t="shared" si="8"/>
        <v>-7903617366.3928165</v>
      </c>
      <c r="I32" s="16">
        <f t="shared" si="9"/>
        <v>-601795133.85212266</v>
      </c>
      <c r="J32" s="16">
        <f t="shared" si="10"/>
        <v>-45821725.210032746</v>
      </c>
      <c r="K32" s="16">
        <f t="shared" si="11"/>
        <v>-3488945.6280310932</v>
      </c>
      <c r="M32" s="6">
        <v>36.057099999999991</v>
      </c>
    </row>
    <row r="33" spans="1:19" x14ac:dyDescent="0.25">
      <c r="A33" s="4">
        <v>75</v>
      </c>
      <c r="B33" s="16">
        <v>1</v>
      </c>
      <c r="C33" s="16">
        <f t="shared" si="3"/>
        <v>9358.8579056253657</v>
      </c>
      <c r="D33" s="16">
        <f t="shared" si="4"/>
        <v>-5431.0733406245708</v>
      </c>
      <c r="E33" s="16">
        <f t="shared" si="5"/>
        <v>29496557.631242935</v>
      </c>
      <c r="F33" s="16">
        <f t="shared" si="6"/>
        <v>-50828643.669935428</v>
      </c>
      <c r="G33" s="16">
        <f t="shared" si="7"/>
        <v>87588221.297686413</v>
      </c>
      <c r="H33" s="16">
        <f t="shared" si="8"/>
        <v>-160197967791.23975</v>
      </c>
      <c r="I33" s="16">
        <f t="shared" si="9"/>
        <v>276054091575.89215</v>
      </c>
      <c r="J33" s="16">
        <f t="shared" si="10"/>
        <v>-475698053642.5899</v>
      </c>
      <c r="K33" s="16">
        <f t="shared" si="11"/>
        <v>819725717331.51648</v>
      </c>
      <c r="M33" s="6">
        <v>36.207600000000014</v>
      </c>
    </row>
    <row r="34" spans="1:19" x14ac:dyDescent="0.25">
      <c r="A34" s="4">
        <v>76</v>
      </c>
      <c r="B34" s="16">
        <v>1</v>
      </c>
      <c r="C34" s="16">
        <f t="shared" si="3"/>
        <v>6761.8775556250475</v>
      </c>
      <c r="D34" s="16">
        <f t="shared" si="4"/>
        <v>-8823.7143606245518</v>
      </c>
      <c r="E34" s="16">
        <f t="shared" si="5"/>
        <v>77857935.117891937</v>
      </c>
      <c r="F34" s="16">
        <f t="shared" si="6"/>
        <v>-59664876.092353575</v>
      </c>
      <c r="G34" s="16">
        <f t="shared" si="7"/>
        <v>45722988.077265769</v>
      </c>
      <c r="H34" s="16">
        <f t="shared" si="8"/>
        <v>-686996180188.31775</v>
      </c>
      <c r="I34" s="16">
        <f t="shared" si="9"/>
        <v>526465824000.98468</v>
      </c>
      <c r="J34" s="16">
        <f t="shared" si="10"/>
        <v>-403446586508.03516</v>
      </c>
      <c r="K34" s="16">
        <f t="shared" si="11"/>
        <v>309173246855.77502</v>
      </c>
      <c r="M34" s="6">
        <v>36.215000000000003</v>
      </c>
    </row>
    <row r="35" spans="1:19" x14ac:dyDescent="0.25">
      <c r="A35" s="4">
        <v>86</v>
      </c>
      <c r="B35" s="16">
        <v>1</v>
      </c>
      <c r="C35" s="16">
        <f t="shared" si="3"/>
        <v>-11087.171404374763</v>
      </c>
      <c r="D35" s="16">
        <f t="shared" si="4"/>
        <v>1433.0983993750997</v>
      </c>
      <c r="E35" s="16">
        <f t="shared" si="5"/>
        <v>2053771.0222914726</v>
      </c>
      <c r="F35" s="16">
        <f t="shared" si="6"/>
        <v>-15889007.593206849</v>
      </c>
      <c r="G35" s="16">
        <f t="shared" si="7"/>
        <v>122925369.74998546</v>
      </c>
      <c r="H35" s="16">
        <f t="shared" si="8"/>
        <v>2943255964.7288718</v>
      </c>
      <c r="I35" s="16">
        <f t="shared" si="9"/>
        <v>-22770511349.48354</v>
      </c>
      <c r="J35" s="16">
        <f t="shared" si="10"/>
        <v>176164150631.29645</v>
      </c>
      <c r="K35" s="16">
        <f t="shared" si="11"/>
        <v>-1362894644364.2334</v>
      </c>
      <c r="M35" s="6">
        <v>35.919999999999987</v>
      </c>
    </row>
    <row r="36" spans="1:19" x14ac:dyDescent="0.25">
      <c r="A36" s="4">
        <v>87</v>
      </c>
      <c r="B36" s="16">
        <v>1</v>
      </c>
      <c r="C36" s="16">
        <f t="shared" si="3"/>
        <v>-7055.2257443750277</v>
      </c>
      <c r="D36" s="16">
        <f t="shared" si="4"/>
        <v>5303.7502093752846</v>
      </c>
      <c r="E36" s="16">
        <f t="shared" si="5"/>
        <v>28129766.283448376</v>
      </c>
      <c r="F36" s="16">
        <f t="shared" si="6"/>
        <v>-37419155.018918954</v>
      </c>
      <c r="G36" s="16">
        <f t="shared" si="7"/>
        <v>49776210.304092161</v>
      </c>
      <c r="H36" s="16">
        <f t="shared" si="8"/>
        <v>149193253815.51715</v>
      </c>
      <c r="I36" s="16">
        <f t="shared" si="9"/>
        <v>-198461851266.23761</v>
      </c>
      <c r="J36" s="16">
        <f t="shared" si="10"/>
        <v>264000585822.23703</v>
      </c>
      <c r="K36" s="16">
        <f t="shared" si="11"/>
        <v>-351182400394.85657</v>
      </c>
      <c r="M36" s="6">
        <v>35.833200000000033</v>
      </c>
    </row>
    <row r="37" spans="1:19" x14ac:dyDescent="0.25">
      <c r="A37" s="4">
        <v>88</v>
      </c>
      <c r="B37" s="16">
        <v>1</v>
      </c>
      <c r="C37" s="16">
        <f t="shared" si="3"/>
        <v>-5932.226104374975</v>
      </c>
      <c r="D37" s="16">
        <f t="shared" si="4"/>
        <v>11116.859949375503</v>
      </c>
      <c r="E37" s="16">
        <f t="shared" si="5"/>
        <v>123584575.13402911</v>
      </c>
      <c r="F37" s="16">
        <f t="shared" si="6"/>
        <v>-65947726.790366024</v>
      </c>
      <c r="G37" s="16">
        <f t="shared" si="7"/>
        <v>35191306.55342789</v>
      </c>
      <c r="H37" s="16">
        <f t="shared" si="8"/>
        <v>1373872413668.0759</v>
      </c>
      <c r="I37" s="16">
        <f t="shared" si="9"/>
        <v>-733131642708.17786</v>
      </c>
      <c r="J37" s="16">
        <f t="shared" si="10"/>
        <v>391216826389.99823</v>
      </c>
      <c r="K37" s="16">
        <f t="shared" si="11"/>
        <v>-208762787383.30707</v>
      </c>
      <c r="M37" s="6">
        <v>35.772000000000048</v>
      </c>
    </row>
    <row r="38" spans="1:19" x14ac:dyDescent="0.25">
      <c r="A38" s="4">
        <v>92</v>
      </c>
      <c r="B38" s="16">
        <v>1</v>
      </c>
      <c r="C38" s="16">
        <f t="shared" si="3"/>
        <v>-15041.28248437494</v>
      </c>
      <c r="D38" s="16">
        <f t="shared" si="4"/>
        <v>4171.4819193752483</v>
      </c>
      <c r="E38" s="16">
        <f t="shared" si="5"/>
        <v>17401261.403674606</v>
      </c>
      <c r="F38" s="16">
        <f t="shared" si="6"/>
        <v>-62744437.92778568</v>
      </c>
      <c r="G38" s="16">
        <f t="shared" si="7"/>
        <v>226240178.77476439</v>
      </c>
      <c r="H38" s="16">
        <f t="shared" si="8"/>
        <v>72589047319.750977</v>
      </c>
      <c r="I38" s="16">
        <f t="shared" si="9"/>
        <v>-261737288357.12054</v>
      </c>
      <c r="J38" s="16">
        <f t="shared" si="10"/>
        <v>943756815195.15344</v>
      </c>
      <c r="K38" s="16">
        <f t="shared" si="11"/>
        <v>-3402942438266.7188</v>
      </c>
      <c r="M38" s="6">
        <v>35.823899999999995</v>
      </c>
    </row>
    <row r="39" spans="1:19" x14ac:dyDescent="0.25">
      <c r="A39" s="4">
        <v>105</v>
      </c>
      <c r="B39" s="16">
        <v>1</v>
      </c>
      <c r="C39" s="16">
        <f t="shared" si="3"/>
        <v>-647.45180437481031</v>
      </c>
      <c r="D39" s="16">
        <f t="shared" si="4"/>
        <v>-6243.4979206249118</v>
      </c>
      <c r="E39" s="16">
        <f t="shared" si="5"/>
        <v>38981266.284847595</v>
      </c>
      <c r="F39" s="16">
        <f t="shared" si="6"/>
        <v>4042363.9943189751</v>
      </c>
      <c r="G39" s="16">
        <f t="shared" si="7"/>
        <v>419193.83898819762</v>
      </c>
      <c r="H39" s="16">
        <f t="shared" si="8"/>
        <v>-243379454992.77194</v>
      </c>
      <c r="I39" s="16">
        <f t="shared" si="9"/>
        <v>-25238491192.939533</v>
      </c>
      <c r="J39" s="16">
        <f t="shared" si="10"/>
        <v>-2617235862.0615859</v>
      </c>
      <c r="K39" s="16">
        <f t="shared" si="11"/>
        <v>-271407807.43571228</v>
      </c>
      <c r="M39" s="6">
        <v>36.038599999999995</v>
      </c>
      <c r="Q39" s="39" t="s">
        <v>44</v>
      </c>
      <c r="R39" s="34" t="s">
        <v>54</v>
      </c>
      <c r="S39" s="34">
        <f>S40-S41</f>
        <v>6</v>
      </c>
    </row>
    <row r="40" spans="1:19" x14ac:dyDescent="0.25">
      <c r="Q40" s="17">
        <f t="array" ref="Q40:Q55">(MMULT(B24:K39,N44:N53))-M24:M39</f>
        <v>3.6258420477956577E-2</v>
      </c>
      <c r="R40" s="36" t="s">
        <v>45</v>
      </c>
      <c r="S40" s="6">
        <v>16</v>
      </c>
    </row>
    <row r="41" spans="1:19" x14ac:dyDescent="0.25">
      <c r="Q41" s="17">
        <v>9.4853674530668286E-3</v>
      </c>
      <c r="R41" s="37" t="s">
        <v>50</v>
      </c>
      <c r="S41" s="7">
        <v>10</v>
      </c>
    </row>
    <row r="42" spans="1:19" x14ac:dyDescent="0.25">
      <c r="Q42" s="17">
        <v>6.2923291119389546E-2</v>
      </c>
      <c r="R42" s="38" t="s">
        <v>49</v>
      </c>
      <c r="S42" s="35" cm="1">
        <f t="array" ref="S42">SQRT((MMULT(TRANSPOSE(Q40:Q55),Q40:Q55))/((S40-S41)))</f>
        <v>5.3729405139347874E-2</v>
      </c>
    </row>
    <row r="43" spans="1:19" x14ac:dyDescent="0.25">
      <c r="M43" s="9" t="s">
        <v>32</v>
      </c>
      <c r="N43" s="11" t="s">
        <v>33</v>
      </c>
      <c r="Q43" s="17">
        <v>-5.5831143359057478E-3</v>
      </c>
      <c r="S43" s="33">
        <f>SQRT(B44)*$S$42</f>
        <v>4.7689302749933174E-2</v>
      </c>
    </row>
    <row r="44" spans="1:19" x14ac:dyDescent="0.25">
      <c r="B44" s="15">
        <f t="array" ref="B44:K53">MINVERSE(MMULT(TRANSPOSE(B24:K39),B24:K39))</f>
        <v>0.78780345462723644</v>
      </c>
      <c r="C44" s="8">
        <v>1.3322717323090445E-4</v>
      </c>
      <c r="D44" s="8">
        <v>1.6694006879279343E-4</v>
      </c>
      <c r="E44" s="8">
        <v>-4.4983942734565003E-9</v>
      </c>
      <c r="F44" s="8">
        <v>9.3097760327793581E-10</v>
      </c>
      <c r="G44" s="8">
        <v>-6.782888909610605E-9</v>
      </c>
      <c r="H44" s="8">
        <v>-1.3562145567378028E-12</v>
      </c>
      <c r="I44" s="8">
        <v>-2.0267442888148181E-12</v>
      </c>
      <c r="J44" s="8">
        <v>-2.4201072183550961E-12</v>
      </c>
      <c r="K44" s="8">
        <v>-1.1812350917375957E-12</v>
      </c>
      <c r="M44" s="10">
        <f t="array" ref="M44:M53">MMULT(TRANSPOSE(B24:K39),(M24:M39))</f>
        <v>575.58999999999992</v>
      </c>
      <c r="N44" s="1">
        <f t="array" ref="N44:N53">MMULT(B44:K53,M44:M53)</f>
        <v>36.009633343652951</v>
      </c>
      <c r="O44" s="11" t="s">
        <v>24</v>
      </c>
      <c r="Q44" s="17">
        <v>-4.8101440219255664E-2</v>
      </c>
      <c r="S44" s="7">
        <f t="array" ref="S44">SQRT(C45)*$S$42</f>
        <v>1.0989504930669668E-5</v>
      </c>
    </row>
    <row r="45" spans="1:19" x14ac:dyDescent="0.25">
      <c r="B45" s="8">
        <v>1.3322717323090646E-4</v>
      </c>
      <c r="C45" s="15">
        <v>4.1834269682604072E-8</v>
      </c>
      <c r="D45" s="8">
        <v>4.2828475570688065E-8</v>
      </c>
      <c r="E45" s="8">
        <v>-2.6585955386244352E-13</v>
      </c>
      <c r="F45" s="8">
        <v>9.208890239296636E-13</v>
      </c>
      <c r="G45" s="8">
        <v>-1.2213430012619261E-12</v>
      </c>
      <c r="H45" s="8">
        <v>-3.7404301479755838E-16</v>
      </c>
      <c r="I45" s="8">
        <v>-6.5443395948475623E-16</v>
      </c>
      <c r="J45" s="8">
        <v>-6.8687214563497906E-16</v>
      </c>
      <c r="K45" s="8">
        <v>-3.4967051821038475E-16</v>
      </c>
      <c r="M45" s="10">
        <v>10519.089870641172</v>
      </c>
      <c r="N45" s="1">
        <v>1.0237669581181913E-5</v>
      </c>
      <c r="O45" s="11" t="s">
        <v>35</v>
      </c>
      <c r="Q45" s="17">
        <v>-1.3490217658542747E-3</v>
      </c>
      <c r="S45" s="7">
        <f>SQRT(D46)*$S$42</f>
        <v>1.3943523595252952E-5</v>
      </c>
    </row>
    <row r="46" spans="1:19" x14ac:dyDescent="0.25">
      <c r="B46" s="8">
        <v>1.6694006879279435E-4</v>
      </c>
      <c r="C46" s="8">
        <v>4.2828475570687986E-8</v>
      </c>
      <c r="D46" s="15">
        <v>6.7347426839923956E-8</v>
      </c>
      <c r="E46" s="8">
        <v>-2.6987981796436684E-13</v>
      </c>
      <c r="F46" s="8">
        <v>1.2029137543271536E-12</v>
      </c>
      <c r="G46" s="8">
        <v>-1.3150360774200447E-12</v>
      </c>
      <c r="H46" s="8">
        <v>-5.7832933628335431E-16</v>
      </c>
      <c r="I46" s="8">
        <v>-7.8259216626515872E-16</v>
      </c>
      <c r="J46" s="8">
        <v>-9.5832859197402284E-16</v>
      </c>
      <c r="K46" s="8">
        <v>-3.8479700063858099E-16</v>
      </c>
      <c r="M46" s="10">
        <v>-15144.801871529926</v>
      </c>
      <c r="N46" s="1">
        <v>-1.2458982153591008E-5</v>
      </c>
      <c r="O46" s="11" t="s">
        <v>36</v>
      </c>
      <c r="Q46" s="17">
        <v>4.0057791433625312E-2</v>
      </c>
      <c r="S46" s="7">
        <f>SQRT(E47)*$S$42</f>
        <v>4.7411551687539432E-10</v>
      </c>
    </row>
    <row r="47" spans="1:19" x14ac:dyDescent="0.25">
      <c r="B47" s="8">
        <v>-4.4983942734564358E-9</v>
      </c>
      <c r="C47" s="8">
        <v>-2.6585955386242211E-13</v>
      </c>
      <c r="D47" s="8">
        <v>-2.6987981796434286E-13</v>
      </c>
      <c r="E47" s="15">
        <v>7.7865356020310471E-17</v>
      </c>
      <c r="F47" s="8">
        <v>5.3054542264393985E-17</v>
      </c>
      <c r="G47" s="8">
        <v>3.8531669221921241E-17</v>
      </c>
      <c r="H47" s="8">
        <v>-8.6834739913201636E-22</v>
      </c>
      <c r="I47" s="8">
        <v>-2.2179517404903159E-21</v>
      </c>
      <c r="J47" s="8">
        <v>3.2651356489251212E-21</v>
      </c>
      <c r="K47" s="8">
        <v>2.5282251256112639E-21</v>
      </c>
      <c r="M47" s="10">
        <v>25480935355.831875</v>
      </c>
      <c r="N47" s="1">
        <v>-8.7040454197894501E-10</v>
      </c>
      <c r="O47" s="11" t="s">
        <v>37</v>
      </c>
      <c r="Q47" s="17">
        <v>-9.2467255382828739E-3</v>
      </c>
      <c r="R47" s="5" t="s">
        <v>46</v>
      </c>
      <c r="S47" s="7">
        <f>SQRT(F48)*$S$42</f>
        <v>6.3076507008828865E-10</v>
      </c>
    </row>
    <row r="48" spans="1:19" x14ac:dyDescent="0.25">
      <c r="A48" s="8" t="s">
        <v>34</v>
      </c>
      <c r="B48" s="8">
        <v>9.3097760327802855E-10</v>
      </c>
      <c r="C48" s="8">
        <v>9.2088902392968238E-13</v>
      </c>
      <c r="D48" s="8">
        <v>1.2029137543271802E-12</v>
      </c>
      <c r="E48" s="8">
        <v>5.3054542264393344E-17</v>
      </c>
      <c r="F48" s="15">
        <v>1.3781967011942087E-16</v>
      </c>
      <c r="G48" s="8">
        <v>1.0773177102507105E-17</v>
      </c>
      <c r="H48" s="8">
        <v>-1.3321951660052854E-20</v>
      </c>
      <c r="I48" s="8">
        <v>-2.2616270590848089E-20</v>
      </c>
      <c r="J48" s="8">
        <v>-2.3315793498896327E-20</v>
      </c>
      <c r="K48" s="8">
        <v>-8.864486798413882E-21</v>
      </c>
      <c r="M48" s="10">
        <v>-9234832406.9193344</v>
      </c>
      <c r="N48" s="1">
        <v>-1.1010716267629265E-9</v>
      </c>
      <c r="O48" s="11" t="s">
        <v>38</v>
      </c>
      <c r="Q48" s="17">
        <v>-2.7672958953026239E-2</v>
      </c>
      <c r="S48" s="7">
        <f>SQRT(G49)*$S$42</f>
        <v>4.7683276000202916E-10</v>
      </c>
    </row>
    <row r="49" spans="1:19" x14ac:dyDescent="0.25">
      <c r="B49" s="8">
        <v>-6.7828889096105595E-9</v>
      </c>
      <c r="C49" s="8">
        <v>-1.2213430012619129E-12</v>
      </c>
      <c r="D49" s="8">
        <v>-1.3150360774200338E-12</v>
      </c>
      <c r="E49" s="8">
        <v>3.8531669221921624E-17</v>
      </c>
      <c r="F49" s="8">
        <v>1.0773177102507816E-17</v>
      </c>
      <c r="G49" s="15">
        <v>7.8760434942017138E-17</v>
      </c>
      <c r="H49" s="8">
        <v>1.0871639998428696E-20</v>
      </c>
      <c r="I49" s="8">
        <v>1.6470793617835297E-20</v>
      </c>
      <c r="J49" s="8">
        <v>1.6988638374928858E-20</v>
      </c>
      <c r="K49" s="8">
        <v>1.045813229527388E-20</v>
      </c>
      <c r="M49" s="10">
        <v>32491748766.730076</v>
      </c>
      <c r="N49" s="1">
        <v>-2.2730156620981376E-10</v>
      </c>
      <c r="O49" s="11" t="s">
        <v>39</v>
      </c>
      <c r="Q49" s="17">
        <v>-2.7520785522725077E-2</v>
      </c>
      <c r="S49" s="7">
        <f>SQRT(H50)*$S$42</f>
        <v>1.2533061439245894E-13</v>
      </c>
    </row>
    <row r="50" spans="1:19" x14ac:dyDescent="0.25">
      <c r="B50" s="8">
        <v>-1.3562145567378105E-12</v>
      </c>
      <c r="C50" s="8">
        <v>-3.7404301479755858E-16</v>
      </c>
      <c r="D50" s="8">
        <v>-5.783293362833554E-16</v>
      </c>
      <c r="E50" s="8">
        <v>-8.6834739913182207E-22</v>
      </c>
      <c r="F50" s="8">
        <v>-1.3321951660052687E-20</v>
      </c>
      <c r="G50" s="8">
        <v>1.08716399984288E-20</v>
      </c>
      <c r="H50" s="15">
        <v>5.4411446636663993E-24</v>
      </c>
      <c r="I50" s="8">
        <v>7.3525848352926443E-24</v>
      </c>
      <c r="J50" s="8">
        <v>7.9131230507527052E-24</v>
      </c>
      <c r="K50" s="8">
        <v>3.2520862140206414E-24</v>
      </c>
      <c r="M50" s="10">
        <v>23448069461812.352</v>
      </c>
      <c r="N50" s="1">
        <v>-3.9116686207026275E-14</v>
      </c>
      <c r="O50" s="11" t="s">
        <v>40</v>
      </c>
      <c r="Q50" s="17">
        <v>-1.9603434939853059E-2</v>
      </c>
      <c r="S50" s="7">
        <f>SQRT(I51)*$S$42</f>
        <v>1.901972021275163E-13</v>
      </c>
    </row>
    <row r="51" spans="1:19" x14ac:dyDescent="0.25">
      <c r="B51" s="8">
        <v>-2.0267442888148439E-12</v>
      </c>
      <c r="C51" s="8">
        <v>-6.5443395948475801E-16</v>
      </c>
      <c r="D51" s="8">
        <v>-7.8259216626516227E-16</v>
      </c>
      <c r="E51" s="8">
        <v>-2.2179517404900176E-21</v>
      </c>
      <c r="F51" s="8">
        <v>-2.2616270590847881E-20</v>
      </c>
      <c r="G51" s="8">
        <v>1.6470793617835499E-20</v>
      </c>
      <c r="H51" s="8">
        <v>7.3525848352926576E-24</v>
      </c>
      <c r="I51" s="15">
        <v>1.2530955373837186E-23</v>
      </c>
      <c r="J51" s="8">
        <v>1.2472857291674227E-23</v>
      </c>
      <c r="K51" s="8">
        <v>5.5574407439106529E-24</v>
      </c>
      <c r="M51" s="10">
        <v>26432607194910.574</v>
      </c>
      <c r="N51" s="1">
        <v>-1.7527456839797723E-14</v>
      </c>
      <c r="O51" s="11" t="s">
        <v>41</v>
      </c>
      <c r="Q51" s="17">
        <v>-3.6707461111163298E-2</v>
      </c>
      <c r="S51" s="7">
        <f t="array" ref="S51">SQRT(J52)*$S$42</f>
        <v>2.186264977598267E-13</v>
      </c>
    </row>
    <row r="52" spans="1:19" x14ac:dyDescent="0.25">
      <c r="B52" s="8">
        <v>-2.4201072183551066E-12</v>
      </c>
      <c r="C52" s="8">
        <v>-6.8687214563497797E-16</v>
      </c>
      <c r="D52" s="8">
        <v>-9.5832859197402343E-16</v>
      </c>
      <c r="E52" s="8">
        <v>3.2651356489255018E-21</v>
      </c>
      <c r="F52" s="8">
        <v>-2.3315793498895918E-20</v>
      </c>
      <c r="G52" s="8">
        <v>1.6988638374929011E-20</v>
      </c>
      <c r="H52" s="8">
        <v>7.9131230507526891E-24</v>
      </c>
      <c r="I52" s="8">
        <v>1.2472857291674174E-23</v>
      </c>
      <c r="J52" s="15">
        <v>1.6556995502603217E-23</v>
      </c>
      <c r="K52" s="8">
        <v>6.4987859496993963E-24</v>
      </c>
      <c r="M52" s="10">
        <v>27642851490501.984</v>
      </c>
      <c r="N52" s="1">
        <v>-1.4506228789044126E-14</v>
      </c>
      <c r="O52" s="11" t="s">
        <v>42</v>
      </c>
      <c r="Q52" s="17">
        <v>4.2371964156224351E-2</v>
      </c>
      <c r="S52" s="7">
        <f>SQRT(K53)*$S$42</f>
        <v>9.5127527904426849E-14</v>
      </c>
    </row>
    <row r="53" spans="1:19" x14ac:dyDescent="0.25">
      <c r="B53" s="8">
        <v>-1.1812350917375949E-12</v>
      </c>
      <c r="C53" s="8">
        <v>-3.4967051821038431E-16</v>
      </c>
      <c r="D53" s="8">
        <v>-3.8479700063858119E-16</v>
      </c>
      <c r="E53" s="8">
        <v>2.5282251256114166E-21</v>
      </c>
      <c r="F53" s="8">
        <v>-8.8644867984137436E-21</v>
      </c>
      <c r="G53" s="8">
        <v>1.0458132295273953E-20</v>
      </c>
      <c r="H53" s="8">
        <v>3.2520862140206351E-24</v>
      </c>
      <c r="I53" s="8">
        <v>5.5574407439106331E-24</v>
      </c>
      <c r="J53" s="8">
        <v>6.4987859496993999E-24</v>
      </c>
      <c r="K53" s="15">
        <v>3.1346449497254139E-24</v>
      </c>
      <c r="M53" s="10">
        <v>-67357243728263.055</v>
      </c>
      <c r="N53" s="1">
        <v>-1.4327038501514487E-14</v>
      </c>
      <c r="O53" s="11" t="s">
        <v>43</v>
      </c>
      <c r="Q53" s="17">
        <v>-4.8133561756856125E-2</v>
      </c>
    </row>
    <row r="54" spans="1:19" x14ac:dyDescent="0.25">
      <c r="Q54" s="17">
        <v>1.9100362203651855E-2</v>
      </c>
    </row>
    <row r="55" spans="1:19" x14ac:dyDescent="0.25">
      <c r="Q55" s="17">
        <v>1.3721307264901839E-2</v>
      </c>
    </row>
    <row r="56" spans="1:19" x14ac:dyDescent="0.25">
      <c r="O56" s="13"/>
    </row>
    <row r="57" spans="1:19" x14ac:dyDescent="0.25">
      <c r="O57" s="13"/>
    </row>
    <row r="58" spans="1:19" x14ac:dyDescent="0.25">
      <c r="O58" s="13"/>
    </row>
    <row r="59" spans="1:19" x14ac:dyDescent="0.25">
      <c r="A59" s="13"/>
      <c r="B59" s="13"/>
      <c r="C59" s="13"/>
      <c r="D59" s="13"/>
      <c r="L59" s="13"/>
      <c r="O59" s="13"/>
    </row>
    <row r="60" spans="1:19" x14ac:dyDescent="0.25">
      <c r="A60" s="9" t="s">
        <v>53</v>
      </c>
      <c r="B60" s="9" t="s">
        <v>55</v>
      </c>
      <c r="C60" s="9" t="s">
        <v>58</v>
      </c>
      <c r="D60" s="9" t="s">
        <v>59</v>
      </c>
      <c r="E60" s="13"/>
      <c r="F60" s="13"/>
      <c r="G60" s="13"/>
      <c r="H60" s="13"/>
      <c r="I60" s="13"/>
      <c r="J60" s="13"/>
      <c r="K60" s="13"/>
      <c r="L60" s="13"/>
      <c r="O60" s="13"/>
      <c r="P60" s="14"/>
    </row>
    <row r="61" spans="1:19" x14ac:dyDescent="0.25">
      <c r="A61" s="10">
        <f>ABS(N44)/S43</f>
        <v>755.08827487949407</v>
      </c>
      <c r="B61" s="10">
        <f>TINV(0.05,6)</f>
        <v>2.4469118511449697</v>
      </c>
      <c r="C61" s="10" t="s">
        <v>57</v>
      </c>
      <c r="D61" s="10" t="s">
        <v>24</v>
      </c>
      <c r="E61" s="13"/>
      <c r="F61" s="4" t="s">
        <v>24</v>
      </c>
      <c r="G61" s="13"/>
      <c r="H61" s="9" t="s">
        <v>64</v>
      </c>
      <c r="I61" s="9" t="s">
        <v>65</v>
      </c>
      <c r="J61" s="24" t="s">
        <v>66</v>
      </c>
      <c r="K61" s="11" t="s">
        <v>67</v>
      </c>
      <c r="L61" s="13"/>
      <c r="M61" s="18" t="s">
        <v>69</v>
      </c>
      <c r="N61" s="18">
        <f>N62-N63</f>
        <v>15</v>
      </c>
      <c r="O61" s="13"/>
      <c r="P61" s="14"/>
    </row>
    <row r="62" spans="1:19" x14ac:dyDescent="0.25">
      <c r="A62" s="10">
        <f t="array" ref="A62">ABS(N45)/S44</f>
        <v>0.93158605831373509</v>
      </c>
      <c r="B62" s="10">
        <f>B61</f>
        <v>2.4469118511449697</v>
      </c>
      <c r="C62" s="18" t="s">
        <v>56</v>
      </c>
      <c r="D62" s="18" t="s">
        <v>35</v>
      </c>
      <c r="E62" s="13"/>
      <c r="F62" s="16">
        <v>1</v>
      </c>
      <c r="G62" s="13"/>
      <c r="H62" s="9">
        <f t="array" ref="H62">MINVERSE(MMULT(TRANSPOSE(F62:F77),F62:F77))</f>
        <v>6.25E-2</v>
      </c>
      <c r="I62" s="9">
        <f t="array" ref="I62">MMULT(TRANSPOSE(F62:F77),M24:M39)</f>
        <v>575.58999999999992</v>
      </c>
      <c r="J62" s="24">
        <f t="array" ref="J62">MMULT(H62,I62)</f>
        <v>35.974374999999995</v>
      </c>
      <c r="K62" s="11">
        <f t="array" ref="K62:K77">MMULT(F62:F77,J62)-M24:M39</f>
        <v>-6.6724999999976831E-2</v>
      </c>
      <c r="L62" s="13"/>
      <c r="M62" s="18" t="s">
        <v>45</v>
      </c>
      <c r="N62" s="18">
        <v>16</v>
      </c>
      <c r="O62" s="13"/>
      <c r="P62" s="14"/>
    </row>
    <row r="63" spans="1:19" x14ac:dyDescent="0.25">
      <c r="A63" s="10">
        <f t="array" ref="A63">ABS(N46)/S45</f>
        <v>0.89353182991942204</v>
      </c>
      <c r="B63" s="10">
        <f t="shared" ref="B63:B70" si="12">B62</f>
        <v>2.4469118511449697</v>
      </c>
      <c r="C63" s="18" t="s">
        <v>56</v>
      </c>
      <c r="D63" s="18" t="s">
        <v>36</v>
      </c>
      <c r="E63" s="13"/>
      <c r="F63" s="16">
        <v>1</v>
      </c>
      <c r="G63" s="13"/>
      <c r="H63" s="13"/>
      <c r="I63" s="13"/>
      <c r="J63" s="13"/>
      <c r="K63" s="11">
        <v>-0.221225000000004</v>
      </c>
      <c r="L63" s="13"/>
      <c r="M63" s="18" t="s">
        <v>50</v>
      </c>
      <c r="N63" s="18">
        <v>1</v>
      </c>
      <c r="O63" s="13"/>
      <c r="P63" s="14"/>
    </row>
    <row r="64" spans="1:19" x14ac:dyDescent="0.25">
      <c r="A64" s="10">
        <f t="array" ref="A64">ABS(N47)/S46</f>
        <v>1.8358490937298351</v>
      </c>
      <c r="B64" s="10">
        <f t="shared" si="12"/>
        <v>2.4469118511449697</v>
      </c>
      <c r="C64" s="18" t="s">
        <v>56</v>
      </c>
      <c r="D64" s="18" t="s">
        <v>37</v>
      </c>
      <c r="E64" s="13"/>
      <c r="F64" s="16">
        <v>1</v>
      </c>
      <c r="G64" s="13"/>
      <c r="H64" s="13"/>
      <c r="I64" s="13"/>
      <c r="J64" s="13"/>
      <c r="K64" s="11">
        <v>0.33237499999999898</v>
      </c>
      <c r="L64" s="13"/>
      <c r="N64" s="13"/>
      <c r="O64" s="13"/>
      <c r="P64" s="13"/>
    </row>
    <row r="65" spans="1:16" x14ac:dyDescent="0.25">
      <c r="A65" s="10">
        <f t="array" ref="A65">ABS(N48)/S47</f>
        <v>1.7456128739164467</v>
      </c>
      <c r="B65" s="10">
        <f t="shared" si="12"/>
        <v>2.4469118511449697</v>
      </c>
      <c r="C65" s="18" t="s">
        <v>56</v>
      </c>
      <c r="D65" s="18" t="s">
        <v>38</v>
      </c>
      <c r="E65" s="13"/>
      <c r="F65" s="16">
        <v>1</v>
      </c>
      <c r="G65" s="13"/>
      <c r="H65" s="13"/>
      <c r="I65" s="13"/>
      <c r="J65" s="13"/>
      <c r="K65" s="11">
        <v>9.7499999999683951E-4</v>
      </c>
      <c r="L65" s="13"/>
      <c r="M65" s="15" t="s">
        <v>68</v>
      </c>
      <c r="N65" s="15" cm="1">
        <f t="array" ref="N65">SQRT((MMULT(TRANSPOSE(K62:K77),K62:K77))/((N62-N63)))</f>
        <v>0.16240786721502121</v>
      </c>
      <c r="O65" s="13"/>
      <c r="P65" s="13"/>
    </row>
    <row r="66" spans="1:16" x14ac:dyDescent="0.25">
      <c r="A66" s="10">
        <f t="array" ref="A66">ABS(N49)/S48</f>
        <v>0.47669033102684993</v>
      </c>
      <c r="B66" s="10">
        <f t="shared" si="12"/>
        <v>2.4469118511449697</v>
      </c>
      <c r="C66" s="18" t="s">
        <v>56</v>
      </c>
      <c r="D66" s="18" t="s">
        <v>39</v>
      </c>
      <c r="E66" s="13"/>
      <c r="F66" s="16">
        <v>1</v>
      </c>
      <c r="G66" s="13"/>
      <c r="H66" s="13"/>
      <c r="I66" s="13"/>
      <c r="J66" s="13"/>
      <c r="K66" s="11">
        <v>0.11447500000001298</v>
      </c>
      <c r="L66" s="13"/>
      <c r="M66" s="15" t="s">
        <v>70</v>
      </c>
      <c r="N66" s="15">
        <f t="array" ref="N66">SQRT(H62)*N65</f>
        <v>4.0601966803755302E-2</v>
      </c>
      <c r="O66" s="13"/>
      <c r="P66" s="13"/>
    </row>
    <row r="67" spans="1:16" x14ac:dyDescent="0.25">
      <c r="A67" s="10">
        <f t="array" ref="A67">ABS(N50)/S49</f>
        <v>0.31210799050690602</v>
      </c>
      <c r="B67" s="10">
        <f t="shared" si="12"/>
        <v>2.4469118511449697</v>
      </c>
      <c r="C67" s="18" t="s">
        <v>56</v>
      </c>
      <c r="D67" s="18" t="s">
        <v>40</v>
      </c>
      <c r="E67" s="13"/>
      <c r="F67" s="16">
        <v>1</v>
      </c>
      <c r="G67" s="13"/>
      <c r="H67" s="13"/>
      <c r="I67" s="13"/>
      <c r="J67" s="13"/>
      <c r="K67" s="11">
        <v>2.6774999999972238E-2</v>
      </c>
      <c r="L67" s="13"/>
      <c r="M67" s="13"/>
      <c r="N67" s="13"/>
      <c r="O67" s="13"/>
      <c r="P67" s="13"/>
    </row>
    <row r="68" spans="1:16" x14ac:dyDescent="0.25">
      <c r="A68" s="10">
        <f t="array" ref="A68">ABS(N51)/S50</f>
        <v>9.2154125527285996E-2</v>
      </c>
      <c r="B68" s="10">
        <f t="shared" si="12"/>
        <v>2.4469118511449697</v>
      </c>
      <c r="C68" s="18" t="s">
        <v>56</v>
      </c>
      <c r="D68" s="18" t="s">
        <v>41</v>
      </c>
      <c r="E68" s="13"/>
      <c r="F68" s="16">
        <v>1</v>
      </c>
      <c r="G68" s="13"/>
      <c r="H68" s="13"/>
      <c r="I68" s="13"/>
      <c r="J68" s="13"/>
      <c r="K68" s="11">
        <v>-8.6124999999995566E-2</v>
      </c>
      <c r="L68" s="13"/>
      <c r="M68" s="13"/>
      <c r="N68" s="13"/>
      <c r="O68" s="13"/>
      <c r="P68" s="13"/>
    </row>
    <row r="69" spans="1:16" x14ac:dyDescent="0.25">
      <c r="A69" s="10">
        <f t="array" ref="A69">ABS(N52)/S51</f>
        <v>6.635164967505458E-2</v>
      </c>
      <c r="B69" s="10">
        <f t="shared" si="12"/>
        <v>2.4469118511449697</v>
      </c>
      <c r="C69" s="18" t="s">
        <v>56</v>
      </c>
      <c r="D69" s="18" t="s">
        <v>42</v>
      </c>
      <c r="E69" s="13"/>
      <c r="F69" s="16">
        <v>1</v>
      </c>
      <c r="G69" s="13"/>
      <c r="H69" s="13"/>
      <c r="I69" s="13"/>
      <c r="J69" s="13"/>
      <c r="K69" s="11">
        <v>-2.8125000000002842E-2</v>
      </c>
      <c r="L69" s="13"/>
      <c r="M69" s="32" t="s">
        <v>71</v>
      </c>
      <c r="N69" s="32"/>
      <c r="O69" s="32"/>
      <c r="P69" s="32"/>
    </row>
    <row r="70" spans="1:16" x14ac:dyDescent="0.25">
      <c r="A70" s="10">
        <f t="array" ref="A70">ABS(N53)/S52</f>
        <v>0.15060875455429307</v>
      </c>
      <c r="B70" s="10">
        <f t="shared" si="12"/>
        <v>2.4469118511449697</v>
      </c>
      <c r="C70" s="18" t="s">
        <v>56</v>
      </c>
      <c r="D70" s="18" t="s">
        <v>43</v>
      </c>
      <c r="E70" s="13"/>
      <c r="F70" s="16">
        <v>1</v>
      </c>
      <c r="G70" s="13"/>
      <c r="H70" s="13"/>
      <c r="I70" s="13"/>
      <c r="J70" s="13"/>
      <c r="K70" s="11">
        <v>-8.2724999999996385E-2</v>
      </c>
      <c r="L70" s="13"/>
      <c r="M70" s="9" t="s">
        <v>53</v>
      </c>
      <c r="N70" s="9" t="s">
        <v>55</v>
      </c>
      <c r="O70" s="9" t="s">
        <v>58</v>
      </c>
      <c r="P70" s="9" t="s">
        <v>59</v>
      </c>
    </row>
    <row r="71" spans="1:16" x14ac:dyDescent="0.25">
      <c r="E71" s="13"/>
      <c r="F71" s="16">
        <v>1</v>
      </c>
      <c r="G71" s="13"/>
      <c r="H71" s="13"/>
      <c r="I71" s="13"/>
      <c r="J71" s="13"/>
      <c r="K71" s="11">
        <v>-0.23322500000001867</v>
      </c>
      <c r="L71" s="13"/>
      <c r="M71" s="10">
        <f>ABS(J62)/N66</f>
        <v>886.02542763205997</v>
      </c>
      <c r="N71" s="10">
        <f>TINV(0.05,N61)</f>
        <v>2.1314495455597742</v>
      </c>
      <c r="O71" s="10" t="s">
        <v>57</v>
      </c>
      <c r="P71" s="10" t="s">
        <v>24</v>
      </c>
    </row>
    <row r="72" spans="1:16" x14ac:dyDescent="0.25">
      <c r="E72" s="13"/>
      <c r="F72" s="16">
        <v>1</v>
      </c>
      <c r="G72" s="13"/>
      <c r="H72" s="13"/>
      <c r="I72" s="13"/>
      <c r="J72" s="13"/>
      <c r="K72" s="11">
        <v>-0.24062500000000853</v>
      </c>
      <c r="L72" s="13"/>
      <c r="M72" s="13"/>
      <c r="N72" s="13"/>
      <c r="O72" s="13"/>
      <c r="P72" s="13"/>
    </row>
    <row r="73" spans="1:16" x14ac:dyDescent="0.25">
      <c r="A73" s="13"/>
      <c r="B73" s="13"/>
      <c r="C73" s="13"/>
      <c r="D73" s="13"/>
      <c r="E73" s="13"/>
      <c r="F73" s="16">
        <v>1</v>
      </c>
      <c r="K73" s="11">
        <v>5.437500000000739E-2</v>
      </c>
      <c r="L73" s="13"/>
      <c r="M73" s="13"/>
      <c r="N73" s="13"/>
      <c r="O73" s="13"/>
      <c r="P73" s="13"/>
    </row>
    <row r="74" spans="1:16" x14ac:dyDescent="0.25">
      <c r="A74" s="13"/>
      <c r="B74" s="13"/>
      <c r="C74" s="13"/>
      <c r="D74" s="13"/>
      <c r="E74" s="13"/>
      <c r="F74" s="16">
        <v>1</v>
      </c>
      <c r="K74" s="11">
        <v>0.14117499999996141</v>
      </c>
      <c r="L74" s="13"/>
      <c r="M74" s="13"/>
      <c r="N74" s="13"/>
      <c r="O74" s="13"/>
      <c r="P74" s="13"/>
    </row>
    <row r="75" spans="1:16" x14ac:dyDescent="0.25">
      <c r="A75" s="13"/>
      <c r="B75" s="13"/>
      <c r="C75" s="13"/>
      <c r="D75" s="13"/>
      <c r="E75" s="13"/>
      <c r="F75" s="16">
        <v>1</v>
      </c>
      <c r="K75" s="11">
        <v>0.20237499999994668</v>
      </c>
      <c r="L75" s="13"/>
      <c r="M75" s="13"/>
      <c r="N75" s="13"/>
      <c r="O75" s="13"/>
      <c r="P75" s="13"/>
    </row>
    <row r="76" spans="1:16" x14ac:dyDescent="0.25">
      <c r="E76" s="13"/>
      <c r="F76" s="16">
        <v>1</v>
      </c>
      <c r="K76" s="11">
        <v>0.15047500000000014</v>
      </c>
      <c r="L76" s="13"/>
      <c r="M76" s="13"/>
      <c r="N76" s="13"/>
      <c r="O76" s="13"/>
      <c r="P76" s="13"/>
    </row>
    <row r="77" spans="1:16" x14ac:dyDescent="0.25">
      <c r="E77" s="13"/>
      <c r="F77" s="16">
        <v>1</v>
      </c>
      <c r="K77" s="11">
        <v>-6.4225000000000421E-2</v>
      </c>
      <c r="L77" s="13"/>
      <c r="M77" s="13"/>
      <c r="N77" s="13"/>
      <c r="O77" s="13"/>
      <c r="P77" s="13"/>
    </row>
    <row r="78" spans="1:16" x14ac:dyDescent="0.25">
      <c r="M78" s="13"/>
      <c r="N78" s="13"/>
    </row>
    <row r="79" spans="1:16" x14ac:dyDescent="0.25">
      <c r="M79" s="13"/>
      <c r="N79" s="13"/>
    </row>
    <row r="80" spans="1:16" x14ac:dyDescent="0.25">
      <c r="M80" s="13"/>
      <c r="N80" s="13"/>
    </row>
    <row r="81" spans="1:14" x14ac:dyDescent="0.25">
      <c r="M81" s="13"/>
      <c r="N81" s="13"/>
    </row>
    <row r="82" spans="1:14" x14ac:dyDescent="0.25">
      <c r="M82" s="13"/>
      <c r="N82" s="13"/>
    </row>
    <row r="83" spans="1:14" x14ac:dyDescent="0.25">
      <c r="A83" s="13"/>
      <c r="M83" s="13"/>
      <c r="N83" s="13"/>
    </row>
    <row r="84" spans="1:14" x14ac:dyDescent="0.25">
      <c r="D84" s="18" t="s">
        <v>72</v>
      </c>
      <c r="E84" s="18">
        <f>N44</f>
        <v>36.009633343652951</v>
      </c>
      <c r="M84" s="13"/>
      <c r="N84" s="13"/>
    </row>
    <row r="85" spans="1:14" x14ac:dyDescent="0.25">
      <c r="M85" s="13"/>
      <c r="N85" s="13"/>
    </row>
    <row r="86" spans="1:14" x14ac:dyDescent="0.25">
      <c r="B86" s="25" t="s">
        <v>75</v>
      </c>
      <c r="C86" s="25" t="s">
        <v>73</v>
      </c>
      <c r="D86" s="25" t="s">
        <v>74</v>
      </c>
      <c r="E86" s="27" t="s">
        <v>76</v>
      </c>
      <c r="F86" s="1" t="s">
        <v>77</v>
      </c>
      <c r="M86" s="13"/>
      <c r="N86" s="13"/>
    </row>
    <row r="87" spans="1:14" x14ac:dyDescent="0.25">
      <c r="B87" s="25">
        <v>1</v>
      </c>
      <c r="C87" s="25">
        <v>155.9092</v>
      </c>
      <c r="D87" s="25">
        <v>119.5752</v>
      </c>
      <c r="E87" s="28">
        <f>C87-$E$84</f>
        <v>119.89956665634705</v>
      </c>
      <c r="F87" s="1">
        <f>E87-D87</f>
        <v>0.32436665634705264</v>
      </c>
      <c r="M87" s="13"/>
      <c r="N87" s="13"/>
    </row>
    <row r="88" spans="1:14" x14ac:dyDescent="0.25">
      <c r="B88" s="25">
        <v>2</v>
      </c>
      <c r="C88" s="25">
        <v>213.8734</v>
      </c>
      <c r="D88" s="25">
        <v>178.40029999999999</v>
      </c>
      <c r="E88" s="28">
        <f>C88-$E$84</f>
        <v>177.86376665634705</v>
      </c>
      <c r="F88" s="1">
        <f t="shared" ref="F88:F91" si="13">E88-D88</f>
        <v>-0.53653334365293404</v>
      </c>
      <c r="M88" s="13"/>
      <c r="N88" s="13"/>
    </row>
    <row r="89" spans="1:14" x14ac:dyDescent="0.25">
      <c r="B89" s="25">
        <v>3</v>
      </c>
      <c r="C89" s="25">
        <v>189.27549999999999</v>
      </c>
      <c r="D89" s="25">
        <v>153.99510000000001</v>
      </c>
      <c r="E89" s="28">
        <f>C89-$E$84</f>
        <v>153.26586665634704</v>
      </c>
      <c r="F89" s="1">
        <f t="shared" si="13"/>
        <v>-0.72923334365296455</v>
      </c>
      <c r="M89" s="13"/>
      <c r="N89" s="13"/>
    </row>
    <row r="90" spans="1:14" x14ac:dyDescent="0.25">
      <c r="B90" s="25">
        <v>4</v>
      </c>
      <c r="C90" s="25">
        <v>79.246200000000002</v>
      </c>
      <c r="D90" s="25">
        <v>43.860999999999997</v>
      </c>
      <c r="E90" s="28">
        <f>C90-$E$84</f>
        <v>43.236566656347051</v>
      </c>
      <c r="F90" s="1">
        <f t="shared" si="13"/>
        <v>-0.62443334365294589</v>
      </c>
      <c r="M90" s="13"/>
      <c r="N90" s="13"/>
    </row>
    <row r="91" spans="1:14" x14ac:dyDescent="0.25">
      <c r="B91" s="25">
        <v>5</v>
      </c>
      <c r="C91" s="25">
        <v>136.2698</v>
      </c>
      <c r="D91" s="25">
        <v>100.7859</v>
      </c>
      <c r="E91" s="28">
        <f>C91-$E$84</f>
        <v>100.26016665634705</v>
      </c>
      <c r="F91" s="1">
        <f t="shared" si="13"/>
        <v>-0.525733343652945</v>
      </c>
      <c r="M91" s="13"/>
      <c r="N91" s="13"/>
    </row>
    <row r="92" spans="1:14" x14ac:dyDescent="0.25">
      <c r="M92" s="13"/>
      <c r="N92" s="13"/>
    </row>
    <row r="93" spans="1:14" x14ac:dyDescent="0.25">
      <c r="M93" s="13"/>
      <c r="N93" s="13"/>
    </row>
    <row r="94" spans="1:14" x14ac:dyDescent="0.25">
      <c r="G94" s="13"/>
      <c r="H94" s="13"/>
      <c r="I94" s="13"/>
      <c r="J94" s="13"/>
      <c r="K94" s="13"/>
      <c r="L94" s="13"/>
      <c r="M94" s="13"/>
      <c r="N94" s="13"/>
    </row>
    <row r="97" spans="10:11" x14ac:dyDescent="0.25">
      <c r="J97" s="26"/>
      <c r="K97" s="26"/>
    </row>
  </sheetData>
  <mergeCells count="4">
    <mergeCell ref="A21:H21"/>
    <mergeCell ref="A20:B20"/>
    <mergeCell ref="A1:J1"/>
    <mergeCell ref="M69:P69"/>
  </mergeCells>
  <phoneticPr fontId="1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YILDIZ</dc:creator>
  <cp:lastModifiedBy>Erdem Güneş</cp:lastModifiedBy>
  <dcterms:created xsi:type="dcterms:W3CDTF">2015-06-05T18:19:34Z</dcterms:created>
  <dcterms:modified xsi:type="dcterms:W3CDTF">2021-05-07T19:45:52Z</dcterms:modified>
</cp:coreProperties>
</file>